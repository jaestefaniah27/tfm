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estefaniah\Documents\LINCE\LINCE_AOCS\"/>
    </mc:Choice>
  </mc:AlternateContent>
  <xr:revisionPtr revIDLastSave="0" documentId="13_ncr:1_{4191BCCC-0440-4884-81E6-1FDCE6677E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nufacturing" sheetId="5" r:id="rId1"/>
    <sheet name="Project Inform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I25" i="5"/>
  <c r="G25" i="5"/>
  <c r="N25" i="5" s="1"/>
  <c r="I24" i="5"/>
  <c r="G24" i="5"/>
  <c r="N24" i="5" s="1"/>
  <c r="I23" i="5"/>
  <c r="G23" i="5"/>
  <c r="N23" i="5" s="1"/>
  <c r="I22" i="5"/>
  <c r="G22" i="5"/>
  <c r="N22" i="5" s="1"/>
  <c r="I21" i="5"/>
  <c r="G21" i="5"/>
  <c r="N21" i="5" s="1"/>
  <c r="I20" i="5"/>
  <c r="G20" i="5"/>
  <c r="N20" i="5" s="1"/>
  <c r="I19" i="5"/>
  <c r="G19" i="5"/>
  <c r="N19" i="5" s="1"/>
  <c r="I18" i="5"/>
  <c r="G18" i="5"/>
  <c r="N18" i="5" s="1"/>
  <c r="I17" i="5"/>
  <c r="G17" i="5"/>
  <c r="N17" i="5" s="1"/>
  <c r="I16" i="5"/>
  <c r="G16" i="5"/>
  <c r="N16" i="5" s="1"/>
  <c r="I15" i="5"/>
  <c r="G15" i="5"/>
  <c r="N15" i="5" s="1"/>
  <c r="I14" i="5"/>
  <c r="G14" i="5"/>
  <c r="N14" i="5" s="1"/>
  <c r="I13" i="5"/>
  <c r="G13" i="5"/>
  <c r="N13" i="5" s="1"/>
  <c r="Q3" i="5"/>
  <c r="Q5" i="5" s="1"/>
  <c r="J3" i="5"/>
  <c r="J5" i="5" s="1"/>
  <c r="I11" i="5"/>
  <c r="I12" i="5"/>
  <c r="I10" i="5"/>
  <c r="P5" i="5"/>
  <c r="N12" i="5"/>
  <c r="G11" i="5"/>
  <c r="I5" i="5"/>
  <c r="P10" i="5" a="1"/>
  <c r="P10" i="5" s="1"/>
  <c r="N11" i="5" l="1"/>
  <c r="Q6" i="5" s="1"/>
  <c r="J6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<sst xmlns="http://schemas.openxmlformats.org/spreadsheetml/2006/main" count="251" uniqueCount="155">
  <si>
    <t>Source Data From:</t>
  </si>
  <si>
    <t>Variant:</t>
  </si>
  <si>
    <t>Title</t>
  </si>
  <si>
    <t>Project Full Path</t>
  </si>
  <si>
    <t>Variant Name</t>
  </si>
  <si>
    <t>Project Filename</t>
  </si>
  <si>
    <t>Data-Source Filename</t>
  </si>
  <si>
    <t>Data-Source Full Path</t>
  </si>
  <si>
    <t>Total Quantity</t>
  </si>
  <si>
    <t>Report Time</t>
  </si>
  <si>
    <t>Report Date</t>
  </si>
  <si>
    <t>Output Name</t>
  </si>
  <si>
    <t>Report Date &amp; Tine</t>
  </si>
  <si>
    <t>Output Type</t>
  </si>
  <si>
    <t>Output Generator Name</t>
  </si>
  <si>
    <t>Output Generator Description</t>
  </si>
  <si>
    <t>Report Date:</t>
  </si>
  <si>
    <t>Supplier Unit Price</t>
  </si>
  <si>
    <t>Supplier Part Number</t>
  </si>
  <si>
    <t>Supplier</t>
  </si>
  <si>
    <t>Manufacturer Part Number</t>
  </si>
  <si>
    <t>Manufacturer</t>
  </si>
  <si>
    <t>Designator</t>
  </si>
  <si>
    <t>Description</t>
  </si>
  <si>
    <t>Bill of Materials for</t>
  </si>
  <si>
    <t>Altium Vault P/N</t>
  </si>
  <si>
    <t>Qty</t>
  </si>
  <si>
    <t>Primary</t>
  </si>
  <si>
    <t>Secondary</t>
  </si>
  <si>
    <t>Encargado</t>
  </si>
  <si>
    <t>PCB Count:</t>
  </si>
  <si>
    <t>Price for 1 PCB:</t>
  </si>
  <si>
    <t>LOGIN:</t>
  </si>
  <si>
    <t>Price for all components:</t>
  </si>
  <si>
    <t>LINCE3_AOCS.PrjPcb</t>
  </si>
  <si>
    <t>ActiveBOM.BomDoc</t>
  </si>
  <si>
    <t>None</t>
  </si>
  <si>
    <t>2</t>
  </si>
  <si>
    <t>21/05/2026 11:39</t>
  </si>
  <si>
    <t>DesignItemId</t>
  </si>
  <si>
    <t>CMP-2000-05351-1</t>
  </si>
  <si>
    <t>CMP-0058-01021-3</t>
  </si>
  <si>
    <t>THVD1424RGTR</t>
  </si>
  <si>
    <t>581-M09-213L461</t>
  </si>
  <si>
    <t>CMP-73906-000007-1</t>
  </si>
  <si>
    <t>CMP-73906-000005-1</t>
  </si>
  <si>
    <t>CMP-001-00017-6</t>
  </si>
  <si>
    <t>CMP-03422-000612-1</t>
  </si>
  <si>
    <t>D09S13A4GL00LF</t>
  </si>
  <si>
    <t>CMP-04915-000023-1</t>
  </si>
  <si>
    <t>CMP-05427-001528-1</t>
  </si>
  <si>
    <t>CMP-2000-04376-2</t>
  </si>
  <si>
    <t>CMP-2000-07561-2</t>
  </si>
  <si>
    <t>CMP-02766-000084-1</t>
  </si>
  <si>
    <t>TXU0104PWR</t>
  </si>
  <si>
    <t>P1</t>
  </si>
  <si>
    <t>U7...U10</t>
  </si>
  <si>
    <t>U1_S1, U1_S3, U1_S4, U1_S5, U1_S8</t>
  </si>
  <si>
    <t>J6, J7</t>
  </si>
  <si>
    <t>J10</t>
  </si>
  <si>
    <t>J9</t>
  </si>
  <si>
    <t>C4...C14</t>
  </si>
  <si>
    <t>C1_S1, C1_S3, C1_S4, C1_S5, C1_S8, C2_S1, C2_S3, C2_S4, C2_S5, C2_S8</t>
  </si>
  <si>
    <t>J1...J5, J8</t>
  </si>
  <si>
    <t>U3, U4, U6</t>
  </si>
  <si>
    <t>C3</t>
  </si>
  <si>
    <t>R1...R3</t>
  </si>
  <si>
    <t>D1_S1, D1_S3, D1_S4, D1_S5, D1_S8, D2_S1, D2_S3, D2_S4, D2_S5, D2_S8</t>
  </si>
  <si>
    <t>P2_S1, P2_S3, P2_S4, P2_S5, P2_S8, P3_S1, P3_S3, P3_S4, P3_S5, P3_S8, P4_S1, P4_S3, P4_S4, P4_S5, P4_S8, P5_S1, P5_S3, P5_S4, P5_S5, P5_S8</t>
  </si>
  <si>
    <t>U2, U5</t>
  </si>
  <si>
    <t>Male FMC Connector, Pitch 1.27 mm, 4 x 40 Position, Height 7.11 mm, RoHS, Tape and Reel</t>
  </si>
  <si>
    <t>800 Mbps 2x2 LVDS Crosspoint Switch, 16-pin Narrow SOIC, Pb-Free</t>
  </si>
  <si>
    <t>RS-485 transceiver with slew-rate control, integrated switchable termination and duplex switching 16-VQFN -40 to 125</t>
  </si>
  <si>
    <t>9 Position D-Type, Micro-D Receptacle, Female Sockets Connector</t>
  </si>
  <si>
    <t>R/A 4MM MOUNTG SAFE JACK/PCB BLK</t>
  </si>
  <si>
    <t>R/A 4MM MOUNTG SAFE JACK/PCB RED</t>
  </si>
  <si>
    <t>Chip Capacitor, 100 nF, +/- 10%, 50 V, 0603 (1608 Metric)</t>
  </si>
  <si>
    <t>CAP CER 1UF 25V X5R 0603</t>
  </si>
  <si>
    <t/>
  </si>
  <si>
    <t>IC MOTOR DRVR UNIPLR 8SO PWRPAD</t>
  </si>
  <si>
    <t>Aluminum Electrolytic Capacitors (Radial Lead Type) 47uF ±20% 250V</t>
  </si>
  <si>
    <t>RES SMD 182K OHM 0.1% 1/10W 0603</t>
  </si>
  <si>
    <t>TVS DIODE 12V 31V SOT23-3</t>
  </si>
  <si>
    <t>CONN HEADER VERT 2POS 2.54MM</t>
  </si>
  <si>
    <t>Four channel unidirectional level shifter 14-TSSOP -40 to 125</t>
  </si>
  <si>
    <t>Quantity</t>
  </si>
  <si>
    <t>Supplier 1</t>
  </si>
  <si>
    <t>Arrow Electronics</t>
  </si>
  <si>
    <t>DigiKey</t>
  </si>
  <si>
    <t>Mouser</t>
  </si>
  <si>
    <t>Supplier Part Number 1</t>
  </si>
  <si>
    <t>ASP-134604-01</t>
  </si>
  <si>
    <t>DS90CP22M-8/NOPB-ND</t>
  </si>
  <si>
    <t>296-THVD1424RGTRCT-ND</t>
  </si>
  <si>
    <t>636-581-M09-213L461</t>
  </si>
  <si>
    <t>565-73099-0</t>
  </si>
  <si>
    <t>565-73099-2</t>
  </si>
  <si>
    <t>603-CC603KRX7R9BB104</t>
  </si>
  <si>
    <t>603-CC603KRX5R8BB105</t>
  </si>
  <si>
    <t>649-D09S13A4GL00LF</t>
  </si>
  <si>
    <t>595-DRV8871DDARQ1</t>
  </si>
  <si>
    <t>667-EEU-ED2E470S</t>
  </si>
  <si>
    <t>603-RT0603BRD07182KL</t>
  </si>
  <si>
    <t>576-SM712-02HTG</t>
  </si>
  <si>
    <t>200-TSW10207GS</t>
  </si>
  <si>
    <t>595-TXU0104PWR</t>
  </si>
  <si>
    <t>Manufacturer 1</t>
  </si>
  <si>
    <t>Samtec</t>
  </si>
  <si>
    <t>Texas Instruments</t>
  </si>
  <si>
    <t>NorComp</t>
  </si>
  <si>
    <t>Pomona Electronics</t>
  </si>
  <si>
    <t>Yageo Group</t>
  </si>
  <si>
    <t>Amphenol Communications Solutions</t>
  </si>
  <si>
    <t>Panasonic</t>
  </si>
  <si>
    <t>Littelfuse</t>
  </si>
  <si>
    <t>Manufacturer Part Number 1</t>
  </si>
  <si>
    <t>DS90CP22M-8/NOPB</t>
  </si>
  <si>
    <t>73099-0</t>
  </si>
  <si>
    <t>73099-2</t>
  </si>
  <si>
    <t>CC0603KRX7R9BB104</t>
  </si>
  <si>
    <t>CC0603KRX5R8BB105</t>
  </si>
  <si>
    <t>DRV8871DDARQ1</t>
  </si>
  <si>
    <t>EEUED2E470S</t>
  </si>
  <si>
    <t>RT0603BRD07182KL</t>
  </si>
  <si>
    <t>SM712-02HTG</t>
  </si>
  <si>
    <t>TSW-102-07-G-S</t>
  </si>
  <si>
    <t>Supplier Unit Price 1</t>
  </si>
  <si>
    <t>Supplier 2</t>
  </si>
  <si>
    <t>Farnell</t>
  </si>
  <si>
    <t>Supplier Part Number 2</t>
  </si>
  <si>
    <t>612-ASP-134604-01CT-ND</t>
  </si>
  <si>
    <t>926-DS90CP22M-8/NOPB</t>
  </si>
  <si>
    <t>296-THVD1424RGTRDKR-ND</t>
  </si>
  <si>
    <t>37-581-M09-213L461-ND</t>
  </si>
  <si>
    <t>501-73099-0-ND</t>
  </si>
  <si>
    <t>501-73099-2-ND</t>
  </si>
  <si>
    <t>311-1344-1-ND</t>
  </si>
  <si>
    <t>609-1482-ND</t>
  </si>
  <si>
    <t>296-48291-1-ND</t>
  </si>
  <si>
    <t>F6450DKR-ND</t>
  </si>
  <si>
    <t>SAM1029-02-ND</t>
  </si>
  <si>
    <t>296-TXU0104PWRCT-ND</t>
  </si>
  <si>
    <t>Manufacturer 2</t>
  </si>
  <si>
    <t>Manufacturer Part Number 2</t>
  </si>
  <si>
    <t>Supplier Unit Price 2</t>
  </si>
  <si>
    <t>C:\Users\Public\Documents\Altium\LINCE3_AOCS\LINCE3_AOCS.PrjPcb</t>
  </si>
  <si>
    <t>C:\Users\Public\Documents\Altium\LINCE3_AOCS\ActiveBOM.BomDoc</t>
  </si>
  <si>
    <t>Bill of Materials for BOM Document [ActiveBOM.BomDoc]</t>
  </si>
  <si>
    <t>80</t>
  </si>
  <si>
    <t>11:39</t>
  </si>
  <si>
    <t>21/05/2026</t>
  </si>
  <si>
    <t>Bill of Materials</t>
  </si>
  <si>
    <t>BomReport</t>
  </si>
  <si>
    <t>BOM</t>
  </si>
  <si>
    <t>ESTEFA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</si>
</sst>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9]dd\-mmm\-yy;@"/>
    <numFmt numFmtId="165" formatCode="[$-409]h:mm\ AM/PM;@"/>
    <numFmt numFmtId="166" formatCode="0.0000"/>
  </numFmts>
  <fonts count="14" x14ac:knownFonts="1">
    <font>
      <sz val="10"/>
      <name val="Arial"/>
    </font>
    <font>
      <b/>
      <sz val="10"/>
      <name val="Arial"/>
      <family val="2"/>
    </font>
    <font>
      <sz val="10"/>
      <color indexed="13"/>
      <name val="Arial"/>
      <family val="2"/>
    </font>
    <font>
      <sz val="10"/>
      <color indexed="47"/>
      <name val="Arial"/>
      <family val="2"/>
    </font>
    <font>
      <b/>
      <sz val="24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i/>
      <sz val="18"/>
      <color theme="3" tint="0.59999389629810485"/>
      <name val="Arial"/>
      <family val="2"/>
    </font>
    <font>
      <i/>
      <sz val="18"/>
      <color theme="6" tint="-0.249977111117893"/>
      <name val="Arial"/>
      <family val="2"/>
    </font>
    <font>
      <u/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6"/>
      </top>
      <bottom style="thin">
        <color indexed="64"/>
      </bottom>
      <diagonal/>
    </border>
    <border>
      <left/>
      <right/>
      <top style="medium">
        <color theme="3" tint="0.59996337778862885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3" fillId="2" borderId="0" xfId="0" applyFont="1" applyFill="1"/>
    <xf numFmtId="0" fontId="2" fillId="2" borderId="4" xfId="0" applyFont="1" applyFill="1" applyBorder="1"/>
    <xf numFmtId="0" fontId="2" fillId="2" borderId="0" xfId="0" applyFont="1" applyFill="1"/>
    <xf numFmtId="0" fontId="3" fillId="2" borderId="3" xfId="0" applyFont="1" applyFill="1" applyBorder="1"/>
    <xf numFmtId="0" fontId="4" fillId="3" borderId="0" xfId="0" applyFont="1" applyFill="1" applyAlignment="1">
      <alignment vertical="center"/>
    </xf>
    <xf numFmtId="0" fontId="5" fillId="3" borderId="0" xfId="0" applyFont="1" applyFill="1"/>
    <xf numFmtId="0" fontId="6" fillId="3" borderId="0" xfId="0" applyFont="1" applyFill="1" applyAlignment="1">
      <alignment horizontal="left"/>
    </xf>
    <xf numFmtId="0" fontId="6" fillId="3" borderId="0" xfId="0" applyFont="1" applyFill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7" fillId="3" borderId="0" xfId="0" applyFont="1" applyFill="1"/>
    <xf numFmtId="0" fontId="6" fillId="3" borderId="2" xfId="0" applyFont="1" applyFill="1" applyBorder="1" applyAlignment="1">
      <alignment horizontal="left"/>
    </xf>
    <xf numFmtId="164" fontId="6" fillId="3" borderId="0" xfId="0" applyNumberFormat="1" applyFont="1" applyFill="1" applyAlignment="1">
      <alignment horizontal="left"/>
    </xf>
    <xf numFmtId="0" fontId="8" fillId="2" borderId="12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6" fillId="0" borderId="13" xfId="0" applyFont="1" applyBorder="1"/>
    <xf numFmtId="0" fontId="6" fillId="0" borderId="14" xfId="0" applyFont="1" applyBorder="1"/>
    <xf numFmtId="0" fontId="6" fillId="0" borderId="14" xfId="0" applyFont="1" applyBorder="1" applyAlignment="1">
      <alignment wrapText="1"/>
    </xf>
    <xf numFmtId="0" fontId="4" fillId="3" borderId="0" xfId="0" applyFont="1" applyFill="1" applyAlignment="1">
      <alignment horizontal="left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vertical="center"/>
    </xf>
    <xf numFmtId="0" fontId="8" fillId="4" borderId="1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49" fontId="9" fillId="5" borderId="11" xfId="0" applyNumberFormat="1" applyFont="1" applyFill="1" applyBorder="1" applyAlignment="1">
      <alignment vertical="top" wrapText="1"/>
    </xf>
    <xf numFmtId="49" fontId="9" fillId="4" borderId="11" xfId="0" applyNumberFormat="1" applyFont="1" applyFill="1" applyBorder="1" applyAlignment="1">
      <alignment vertical="top" wrapText="1"/>
    </xf>
    <xf numFmtId="49" fontId="9" fillId="6" borderId="12" xfId="0" applyNumberFormat="1" applyFont="1" applyFill="1" applyBorder="1" applyAlignment="1">
      <alignment vertical="top" wrapText="1"/>
    </xf>
    <xf numFmtId="49" fontId="9" fillId="3" borderId="12" xfId="0" applyNumberFormat="1" applyFont="1" applyFill="1" applyBorder="1" applyAlignment="1">
      <alignment vertical="top" wrapText="1"/>
    </xf>
    <xf numFmtId="1" fontId="9" fillId="6" borderId="10" xfId="0" applyNumberFormat="1" applyFont="1" applyFill="1" applyBorder="1" applyAlignment="1">
      <alignment vertical="top" wrapText="1"/>
    </xf>
    <xf numFmtId="1" fontId="9" fillId="3" borderId="10" xfId="0" applyNumberFormat="1" applyFont="1" applyFill="1" applyBorder="1" applyAlignment="1">
      <alignment vertical="top" wrapText="1"/>
    </xf>
    <xf numFmtId="166" fontId="9" fillId="5" borderId="11" xfId="0" applyNumberFormat="1" applyFont="1" applyFill="1" applyBorder="1" applyAlignment="1">
      <alignment vertical="top" wrapText="1"/>
    </xf>
    <xf numFmtId="166" fontId="9" fillId="4" borderId="11" xfId="0" applyNumberFormat="1" applyFont="1" applyFill="1" applyBorder="1" applyAlignment="1">
      <alignment vertical="top" wrapText="1"/>
    </xf>
    <xf numFmtId="49" fontId="9" fillId="6" borderId="10" xfId="0" applyNumberFormat="1" applyFont="1" applyFill="1" applyBorder="1" applyAlignment="1">
      <alignment vertical="top" wrapText="1"/>
    </xf>
    <xf numFmtId="49" fontId="9" fillId="3" borderId="10" xfId="0" applyNumberFormat="1" applyFont="1" applyFill="1" applyBorder="1" applyAlignment="1">
      <alignment vertical="top" wrapText="1"/>
    </xf>
    <xf numFmtId="0" fontId="8" fillId="5" borderId="10" xfId="0" applyFont="1" applyFill="1" applyBorder="1" applyAlignment="1">
      <alignment horizontal="center" vertical="center"/>
    </xf>
    <xf numFmtId="1" fontId="9" fillId="5" borderId="10" xfId="0" applyNumberFormat="1" applyFont="1" applyFill="1" applyBorder="1" applyAlignment="1">
      <alignment vertical="top" wrapText="1"/>
    </xf>
    <xf numFmtId="0" fontId="8" fillId="4" borderId="10" xfId="0" applyFont="1" applyFill="1" applyBorder="1" applyAlignment="1">
      <alignment horizontal="center" vertical="center"/>
    </xf>
    <xf numFmtId="1" fontId="9" fillId="4" borderId="10" xfId="0" applyNumberFormat="1" applyFont="1" applyFill="1" applyBorder="1" applyAlignment="1">
      <alignment vertical="top" wrapText="1"/>
    </xf>
    <xf numFmtId="0" fontId="12" fillId="0" borderId="0" xfId="0" applyFont="1"/>
    <xf numFmtId="0" fontId="9" fillId="5" borderId="11" xfId="0" applyFont="1" applyFill="1" applyBorder="1" applyAlignment="1">
      <alignment vertical="top" wrapText="1"/>
    </xf>
    <xf numFmtId="0" fontId="13" fillId="0" borderId="0" xfId="0" applyFont="1"/>
    <xf numFmtId="0" fontId="5" fillId="5" borderId="18" xfId="0" applyFont="1" applyFill="1" applyBorder="1"/>
    <xf numFmtId="166" fontId="0" fillId="5" borderId="19" xfId="0" applyNumberFormat="1" applyFill="1" applyBorder="1" applyAlignment="1">
      <alignment horizontal="left"/>
    </xf>
    <xf numFmtId="0" fontId="5" fillId="5" borderId="20" xfId="0" applyFont="1" applyFill="1" applyBorder="1"/>
    <xf numFmtId="0" fontId="6" fillId="5" borderId="21" xfId="0" applyFont="1" applyFill="1" applyBorder="1" applyAlignment="1">
      <alignment horizontal="left"/>
    </xf>
    <xf numFmtId="0" fontId="6" fillId="5" borderId="23" xfId="0" applyFont="1" applyFill="1" applyBorder="1" applyAlignment="1">
      <alignment horizontal="left"/>
    </xf>
    <xf numFmtId="0" fontId="5" fillId="4" borderId="18" xfId="0" applyFont="1" applyFill="1" applyBorder="1"/>
    <xf numFmtId="166" fontId="0" fillId="4" borderId="19" xfId="0" applyNumberFormat="1" applyFill="1" applyBorder="1" applyAlignment="1">
      <alignment horizontal="left"/>
    </xf>
    <xf numFmtId="0" fontId="5" fillId="4" borderId="20" xfId="0" applyFont="1" applyFill="1" applyBorder="1"/>
    <xf numFmtId="0" fontId="6" fillId="4" borderId="21" xfId="0" applyFont="1" applyFill="1" applyBorder="1" applyAlignment="1">
      <alignment horizontal="left"/>
    </xf>
    <xf numFmtId="0" fontId="6" fillId="4" borderId="23" xfId="0" applyFont="1" applyFill="1" applyBorder="1" applyAlignment="1">
      <alignment horizontal="left"/>
    </xf>
    <xf numFmtId="0" fontId="1" fillId="5" borderId="20" xfId="0" applyFont="1" applyFill="1" applyBorder="1"/>
    <xf numFmtId="0" fontId="5" fillId="5" borderId="22" xfId="0" applyFont="1" applyFill="1" applyBorder="1" applyAlignment="1">
      <alignment horizontal="left"/>
    </xf>
    <xf numFmtId="0" fontId="1" fillId="4" borderId="20" xfId="0" applyFont="1" applyFill="1" applyBorder="1"/>
    <xf numFmtId="0" fontId="5" fillId="4" borderId="22" xfId="0" applyFont="1" applyFill="1" applyBorder="1" applyAlignment="1">
      <alignment horizontal="left"/>
    </xf>
    <xf numFmtId="0" fontId="4" fillId="3" borderId="14" xfId="0" quotePrefix="1" applyFont="1" applyFill="1" applyBorder="1" applyAlignment="1">
      <alignment horizontal="left" vertical="center"/>
    </xf>
    <xf numFmtId="0" fontId="5" fillId="3" borderId="0" xfId="0" quotePrefix="1" applyFont="1" applyFill="1" applyAlignment="1">
      <alignment horizontal="left"/>
    </xf>
    <xf numFmtId="0" fontId="6" fillId="5" borderId="21" xfId="0" quotePrefix="1" applyFont="1" applyFill="1" applyBorder="1" applyAlignment="1">
      <alignment horizontal="left"/>
    </xf>
    <xf numFmtId="0" fontId="6" fillId="4" borderId="21" xfId="0" quotePrefix="1" applyFont="1" applyFill="1" applyBorder="1" applyAlignment="1">
      <alignment horizontal="left"/>
    </xf>
    <xf numFmtId="165" fontId="6" fillId="3" borderId="0" xfId="0" quotePrefix="1" applyNumberFormat="1" applyFont="1" applyFill="1" applyAlignment="1">
      <alignment horizontal="left"/>
    </xf>
    <xf numFmtId="0" fontId="0" fillId="3" borderId="9" xfId="0" quotePrefix="1" applyFill="1" applyBorder="1" applyAlignment="1">
      <alignment horizontal="left" vertical="center"/>
    </xf>
    <xf numFmtId="0" fontId="0" fillId="2" borderId="3" xfId="0" quotePrefix="1" applyFill="1" applyBorder="1" applyAlignment="1">
      <alignment horizontal="left" vertical="center"/>
    </xf>
    <xf numFmtId="0" fontId="0" fillId="3" borderId="3" xfId="0" quotePrefix="1" applyFill="1" applyBorder="1" applyAlignment="1">
      <alignment horizontal="left" vertical="center"/>
    </xf>
    <xf numFmtId="0" fontId="0" fillId="2" borderId="5" xfId="0" quotePrefix="1" applyFill="1" applyBorder="1" applyAlignment="1">
      <alignment horizontal="left" vertical="center"/>
    </xf>
    <xf numFmtId="164" fontId="10" fillId="3" borderId="17" xfId="0" applyNumberFormat="1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164" fontId="11" fillId="3" borderId="16" xfId="0" applyNumberFormat="1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3" fillId="7" borderId="3" xfId="0" applyFont="1" applyFill="1" applyBorder="1"/>
    <xf numFmtId="49" fontId="9" fillId="7" borderId="12" xfId="0" applyNumberFormat="1" applyFont="1" applyFill="1" applyBorder="1" applyAlignment="1">
      <alignment vertical="top" wrapText="1"/>
    </xf>
    <xf numFmtId="49" fontId="9" fillId="7" borderId="10" xfId="0" applyNumberFormat="1" applyFont="1" applyFill="1" applyBorder="1" applyAlignment="1">
      <alignment vertical="top" wrapText="1"/>
    </xf>
    <xf numFmtId="1" fontId="9" fillId="7" borderId="10" xfId="0" applyNumberFormat="1" applyFont="1" applyFill="1" applyBorder="1" applyAlignment="1">
      <alignment vertical="top" wrapText="1"/>
    </xf>
    <xf numFmtId="49" fontId="9" fillId="7" borderId="11" xfId="0" applyNumberFormat="1" applyFont="1" applyFill="1" applyBorder="1" applyAlignment="1">
      <alignment vertical="top" wrapText="1"/>
    </xf>
    <xf numFmtId="0" fontId="9" fillId="7" borderId="11" xfId="0" applyFont="1" applyFill="1" applyBorder="1" applyAlignment="1">
      <alignment vertical="top" wrapText="1"/>
    </xf>
    <xf numFmtId="166" fontId="9" fillId="7" borderId="11" xfId="0" applyNumberFormat="1" applyFont="1" applyFill="1" applyBorder="1" applyAlignment="1">
      <alignment vertical="top" wrapText="1"/>
    </xf>
    <xf numFmtId="0" fontId="0" fillId="7" borderId="0" xfId="0" applyFill="1"/>
  </cellXfs>
  <cellStyles count="1">
    <cellStyle name="Normal" xfId="0" builtinId="0"/>
  </cellStyles>
  <dxfs count="5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  <color theme="5" tint="-0.24994659260841701"/>
      </font>
    </dxf>
    <dxf>
      <font>
        <b/>
        <i val="0"/>
        <color theme="5" tint="-0.24994659260841701"/>
      </font>
    </dxf>
    <dxf>
      <font>
        <condense val="0"/>
        <extend val="0"/>
        <color indexed="10"/>
      </font>
    </dxf>
  </dxfs>
  <tableStyles count="0" defaultTableStyle="TableStyleMedium9" defaultPivotStyle="PivotStyleLight16"/>
  <colors>
    <mruColors>
      <color rgb="FFFFCC66"/>
      <color rgb="FFFFFF66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1</xdr:row>
      <xdr:rowOff>85725</xdr:rowOff>
    </xdr:from>
    <xdr:to>
      <xdr:col>2</xdr:col>
      <xdr:colOff>829235</xdr:colOff>
      <xdr:row>6</xdr:row>
      <xdr:rowOff>7845</xdr:rowOff>
    </xdr:to>
    <xdr:pic>
      <xdr:nvPicPr>
        <xdr:cNvPr id="1027" name="Picture 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650" y="257175"/>
          <a:ext cx="1933575" cy="971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zoomScale="85" zoomScaleNormal="85" workbookViewId="0">
      <selection activeCell="J2" sqref="J2"/>
    </sheetView>
  </sheetViews>
  <sheetFormatPr baseColWidth="10" defaultColWidth="9.140625" defaultRowHeight="12.75" x14ac:dyDescent="0.2"/>
  <cols>
    <col min="1" max="1" width="3.5703125" customWidth="1"/>
    <col min="2" max="2" width="22.5703125" customWidth="1"/>
    <col min="3" max="3" width="43.7109375" customWidth="1"/>
    <col min="4" max="4" width="34" customWidth="1"/>
    <col min="5" max="5" width="9.7109375" customWidth="1"/>
    <col min="6" max="6" width="14" customWidth="1"/>
    <col min="7" max="7" width="9.7109375" customWidth="1"/>
    <col min="8" max="9" width="31.140625" customWidth="1"/>
    <col min="10" max="10" width="25.85546875" customWidth="1"/>
    <col min="11" max="11" width="26.5703125" customWidth="1"/>
    <col min="12" max="12" width="19" customWidth="1"/>
    <col min="13" max="13" width="15.140625" customWidth="1"/>
    <col min="14" max="14" width="9.7109375" customWidth="1"/>
    <col min="15" max="16" width="31.140625" customWidth="1"/>
    <col min="17" max="17" width="25.85546875" customWidth="1"/>
    <col min="18" max="18" width="26.5703125" customWidth="1"/>
    <col min="19" max="19" width="21.42578125" customWidth="1"/>
    <col min="20" max="20" width="17.85546875" customWidth="1"/>
  </cols>
  <sheetData>
    <row r="1" spans="1:19" ht="13.5" thickBot="1" x14ac:dyDescent="0.25">
      <c r="A1" s="7"/>
      <c r="B1" s="8"/>
      <c r="C1" s="8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30.75" thickBot="1" x14ac:dyDescent="0.25">
      <c r="A2" s="10"/>
      <c r="B2" s="11"/>
      <c r="C2" s="11"/>
      <c r="D2" s="25" t="s">
        <v>24</v>
      </c>
      <c r="E2" s="29"/>
      <c r="F2" s="63" t="s">
        <v>34</v>
      </c>
      <c r="G2" s="29"/>
      <c r="H2" s="29"/>
      <c r="I2" s="29" t="s">
        <v>32</v>
      </c>
      <c r="J2" s="29" t="s">
        <v>154</v>
      </c>
      <c r="K2" s="29"/>
      <c r="L2" s="29"/>
      <c r="M2" s="29"/>
      <c r="N2" s="29"/>
      <c r="O2" s="29"/>
      <c r="P2" s="29"/>
      <c r="Q2" s="28"/>
      <c r="R2" s="29"/>
      <c r="S2" s="29"/>
    </row>
    <row r="3" spans="1:19" x14ac:dyDescent="0.2">
      <c r="A3" s="10"/>
      <c r="B3" s="12"/>
      <c r="C3" s="12"/>
      <c r="D3" s="12" t="s">
        <v>0</v>
      </c>
      <c r="E3" s="64" t="s">
        <v>35</v>
      </c>
      <c r="F3" s="13"/>
      <c r="G3" s="64" t="s">
        <v>35</v>
      </c>
      <c r="H3" s="13"/>
      <c r="I3" s="49" t="s">
        <v>31</v>
      </c>
      <c r="J3" s="50">
        <f>SUMPRODUCT(E11:E25,L11:L25)</f>
        <v>151.01094999999998</v>
      </c>
      <c r="K3" s="13"/>
      <c r="L3" s="13"/>
      <c r="M3" s="13"/>
      <c r="N3" s="64" t="s">
        <v>35</v>
      </c>
      <c r="O3" s="13"/>
      <c r="P3" s="54" t="s">
        <v>31</v>
      </c>
      <c r="Q3" s="55">
        <f>SUMPRODUCT(E11:E25,S11:S25)</f>
        <v>159.59754999999998</v>
      </c>
      <c r="R3" s="13"/>
      <c r="S3" s="13"/>
    </row>
    <row r="4" spans="1:19" x14ac:dyDescent="0.2">
      <c r="A4" s="10"/>
      <c r="B4" s="12"/>
      <c r="C4" s="12"/>
      <c r="D4" s="12" t="s">
        <v>1</v>
      </c>
      <c r="E4" s="64" t="s">
        <v>36</v>
      </c>
      <c r="F4" s="13"/>
      <c r="G4" s="64" t="s">
        <v>36</v>
      </c>
      <c r="H4" s="13"/>
      <c r="I4" s="51" t="s">
        <v>30</v>
      </c>
      <c r="J4" s="65" t="s">
        <v>37</v>
      </c>
      <c r="K4" s="13"/>
      <c r="L4" s="13"/>
      <c r="M4" s="13"/>
      <c r="N4" s="64" t="s">
        <v>36</v>
      </c>
      <c r="O4" s="13"/>
      <c r="P4" s="56" t="s">
        <v>30</v>
      </c>
      <c r="Q4" s="66" t="s">
        <v>37</v>
      </c>
      <c r="R4" s="13"/>
      <c r="S4" s="13"/>
    </row>
    <row r="5" spans="1:19" x14ac:dyDescent="0.2">
      <c r="A5" s="10"/>
      <c r="B5" s="12"/>
      <c r="C5" s="12"/>
      <c r="D5" s="14" t="s">
        <v>16</v>
      </c>
      <c r="E5" s="67" t="s">
        <v>38</v>
      </c>
      <c r="F5" s="13"/>
      <c r="G5" s="67" t="s">
        <v>38</v>
      </c>
      <c r="H5" s="13"/>
      <c r="I5" s="59" t="str">
        <f>"Price por " &amp; J4 &amp; " PCBs"</f>
        <v>Price por 2 PCBs</v>
      </c>
      <c r="J5" s="52">
        <f>J3*J4</f>
        <v>302.02189999999996</v>
      </c>
      <c r="K5" s="13"/>
      <c r="L5" s="13"/>
      <c r="M5" s="13"/>
      <c r="N5" s="67" t="s">
        <v>38</v>
      </c>
      <c r="O5" s="13"/>
      <c r="P5" s="61" t="str">
        <f>"Price por " &amp; Q4 &amp; " PCBs"</f>
        <v>Price por 2 PCBs</v>
      </c>
      <c r="Q5" s="57">
        <f>Q3*Q4</f>
        <v>319.19509999999997</v>
      </c>
      <c r="R5" s="13"/>
      <c r="S5" s="13"/>
    </row>
    <row r="6" spans="1:19" ht="13.5" thickBot="1" x14ac:dyDescent="0.25">
      <c r="A6" s="10"/>
      <c r="B6" s="16"/>
      <c r="C6" s="16"/>
      <c r="D6" s="14"/>
      <c r="E6" s="15"/>
      <c r="F6" s="15"/>
      <c r="G6" s="15"/>
      <c r="H6" s="15"/>
      <c r="I6" s="60" t="s">
        <v>33</v>
      </c>
      <c r="J6" s="53">
        <f>SUMPRODUCT(G11:G25,L11:L25)</f>
        <v>302.02189999999996</v>
      </c>
      <c r="K6" s="15"/>
      <c r="L6" s="15"/>
      <c r="M6" s="15"/>
      <c r="N6" s="15"/>
      <c r="O6" s="15"/>
      <c r="P6" s="62" t="s">
        <v>33</v>
      </c>
      <c r="Q6" s="58">
        <f>SUMPRODUCT(N11:N25,S11:S25)</f>
        <v>319.19509999999997</v>
      </c>
      <c r="R6" s="15"/>
      <c r="S6" s="15"/>
    </row>
    <row r="7" spans="1:19" ht="13.5" thickBot="1" x14ac:dyDescent="0.25">
      <c r="A7" s="10"/>
      <c r="B7" s="17"/>
      <c r="C7" s="17"/>
      <c r="D7" s="18"/>
      <c r="E7" s="18"/>
      <c r="F7" s="18"/>
      <c r="G7" s="18"/>
      <c r="H7" s="18"/>
      <c r="I7" s="13"/>
      <c r="J7" s="13"/>
      <c r="K7" s="18"/>
      <c r="L7" s="18"/>
      <c r="M7" s="18"/>
      <c r="N7" s="18"/>
      <c r="O7" s="18"/>
      <c r="P7" s="13"/>
      <c r="Q7" s="13"/>
      <c r="R7" s="18"/>
      <c r="S7" s="18"/>
    </row>
    <row r="8" spans="1:19" ht="23.25" x14ac:dyDescent="0.35">
      <c r="A8" s="10"/>
      <c r="B8" s="14"/>
      <c r="C8" s="14"/>
      <c r="D8" s="13"/>
      <c r="E8" s="19"/>
      <c r="F8" s="72" t="s">
        <v>27</v>
      </c>
      <c r="G8" s="72"/>
      <c r="H8" s="73"/>
      <c r="I8" s="73"/>
      <c r="J8" s="73"/>
      <c r="K8" s="73"/>
      <c r="L8" s="73"/>
      <c r="M8" s="74" t="s">
        <v>28</v>
      </c>
      <c r="N8" s="74"/>
      <c r="O8" s="75"/>
      <c r="P8" s="75"/>
      <c r="Q8" s="75"/>
      <c r="R8" s="75"/>
      <c r="S8" s="75"/>
    </row>
    <row r="9" spans="1:19" x14ac:dyDescent="0.2">
      <c r="A9" s="7"/>
      <c r="B9" s="27" t="s">
        <v>25</v>
      </c>
      <c r="C9" s="21" t="s">
        <v>22</v>
      </c>
      <c r="D9" s="26" t="s">
        <v>23</v>
      </c>
      <c r="E9" s="21" t="s">
        <v>26</v>
      </c>
      <c r="F9" s="31" t="s">
        <v>19</v>
      </c>
      <c r="G9" s="31" t="s">
        <v>26</v>
      </c>
      <c r="H9" s="31" t="s">
        <v>18</v>
      </c>
      <c r="I9" s="31" t="s">
        <v>29</v>
      </c>
      <c r="J9" s="31" t="s">
        <v>21</v>
      </c>
      <c r="K9" s="31" t="s">
        <v>20</v>
      </c>
      <c r="L9" s="31" t="s">
        <v>17</v>
      </c>
      <c r="M9" s="30" t="s">
        <v>19</v>
      </c>
      <c r="N9" s="30" t="s">
        <v>26</v>
      </c>
      <c r="O9" s="30" t="s">
        <v>18</v>
      </c>
      <c r="P9" s="30" t="s">
        <v>29</v>
      </c>
      <c r="Q9" s="30" t="s">
        <v>21</v>
      </c>
      <c r="R9" s="30" t="s">
        <v>20</v>
      </c>
      <c r="S9" s="30" t="s">
        <v>17</v>
      </c>
    </row>
    <row r="10" spans="1:19" ht="46.5" hidden="1" customHeight="1" x14ac:dyDescent="0.2">
      <c r="A10" s="10"/>
      <c r="B10" s="20" t="s">
        <v>39</v>
      </c>
      <c r="C10" s="20" t="s">
        <v>22</v>
      </c>
      <c r="D10" s="26" t="s">
        <v>23</v>
      </c>
      <c r="E10" s="26" t="s">
        <v>85</v>
      </c>
      <c r="F10" s="31" t="s">
        <v>86</v>
      </c>
      <c r="G10" s="42"/>
      <c r="H10" s="31" t="s">
        <v>90</v>
      </c>
      <c r="I10" s="47" t="str">
        <f>IF(C10&lt;&gt;"", $J$2 &amp; " - " &amp; C10, "")</f>
        <v>ESTEFA - Designator</v>
      </c>
      <c r="J10" s="31" t="s">
        <v>106</v>
      </c>
      <c r="K10" s="31" t="s">
        <v>115</v>
      </c>
      <c r="L10" s="31" t="s">
        <v>126</v>
      </c>
      <c r="M10" s="30" t="s">
        <v>127</v>
      </c>
      <c r="N10" s="44"/>
      <c r="O10" s="30" t="s">
        <v>129</v>
      </c>
      <c r="P10" s="30" t="e" cm="1">
        <f t="array" aca="1" ref="P10" ca="1">_xludf.IF(I11&lt;&gt;"", "JAESTEFANIAH-" &amp; I11, "")</f>
        <v>#NAME?</v>
      </c>
      <c r="Q10" s="30" t="s">
        <v>142</v>
      </c>
      <c r="R10" s="30" t="s">
        <v>143</v>
      </c>
      <c r="S10" s="30" t="s">
        <v>144</v>
      </c>
    </row>
    <row r="11" spans="1:19" s="83" customFormat="1" ht="22.5" x14ac:dyDescent="0.2">
      <c r="A11" s="76"/>
      <c r="B11" s="77" t="s">
        <v>40</v>
      </c>
      <c r="C11" s="77" t="s">
        <v>55</v>
      </c>
      <c r="D11" s="78" t="s">
        <v>70</v>
      </c>
      <c r="E11" s="79">
        <v>1</v>
      </c>
      <c r="F11" s="80" t="s">
        <v>87</v>
      </c>
      <c r="G11" s="79">
        <f>E11*$J$4</f>
        <v>2</v>
      </c>
      <c r="H11" s="80" t="s">
        <v>91</v>
      </c>
      <c r="I11" s="81" t="str">
        <f t="shared" ref="I11:I12" si="0">IF(C11&lt;&gt;"", $J$2 &amp; " - " &amp; C11, "")</f>
        <v>ESTEFA - P1</v>
      </c>
      <c r="J11" s="80" t="s">
        <v>107</v>
      </c>
      <c r="K11" s="80" t="s">
        <v>91</v>
      </c>
      <c r="L11" s="82">
        <v>11.35</v>
      </c>
      <c r="M11" s="80" t="s">
        <v>88</v>
      </c>
      <c r="N11" s="79">
        <f>G11</f>
        <v>2</v>
      </c>
      <c r="O11" s="80" t="s">
        <v>130</v>
      </c>
      <c r="P11" s="80"/>
      <c r="Q11" s="80" t="s">
        <v>107</v>
      </c>
      <c r="R11" s="80" t="s">
        <v>91</v>
      </c>
      <c r="S11" s="82">
        <v>12.64</v>
      </c>
    </row>
    <row r="12" spans="1:19" ht="22.5" x14ac:dyDescent="0.2">
      <c r="A12" s="10"/>
      <c r="B12" s="35" t="s">
        <v>41</v>
      </c>
      <c r="C12" s="35" t="s">
        <v>56</v>
      </c>
      <c r="D12" s="41" t="s">
        <v>71</v>
      </c>
      <c r="E12" s="37">
        <v>4</v>
      </c>
      <c r="F12" s="32" t="s">
        <v>88</v>
      </c>
      <c r="G12" s="43">
        <f>E12*$J$4</f>
        <v>8</v>
      </c>
      <c r="H12" s="32" t="s">
        <v>92</v>
      </c>
      <c r="I12" s="47" t="str">
        <f t="shared" si="0"/>
        <v>ESTEFA - U7...U10</v>
      </c>
      <c r="J12" s="32" t="s">
        <v>108</v>
      </c>
      <c r="K12" s="32" t="s">
        <v>116</v>
      </c>
      <c r="L12" s="38">
        <v>6.15</v>
      </c>
      <c r="M12" s="33" t="s">
        <v>89</v>
      </c>
      <c r="N12" s="45">
        <f t="shared" ref="N12" si="1">G12</f>
        <v>8</v>
      </c>
      <c r="O12" s="33" t="s">
        <v>131</v>
      </c>
      <c r="P12" s="33"/>
      <c r="Q12" s="33" t="s">
        <v>108</v>
      </c>
      <c r="R12" s="33" t="s">
        <v>116</v>
      </c>
      <c r="S12" s="39">
        <v>6.16</v>
      </c>
    </row>
    <row r="13" spans="1:19" s="83" customFormat="1" ht="33.75" x14ac:dyDescent="0.2">
      <c r="A13" s="76"/>
      <c r="B13" s="77" t="s">
        <v>42</v>
      </c>
      <c r="C13" s="77" t="s">
        <v>57</v>
      </c>
      <c r="D13" s="78" t="s">
        <v>72</v>
      </c>
      <c r="E13" s="79">
        <v>5</v>
      </c>
      <c r="F13" s="80" t="s">
        <v>88</v>
      </c>
      <c r="G13" s="79">
        <f>E13*$J$4</f>
        <v>10</v>
      </c>
      <c r="H13" s="80" t="s">
        <v>93</v>
      </c>
      <c r="I13" s="81" t="str">
        <f t="shared" ref="I13:I16" si="2">IF(C13&lt;&gt;"", $J$2 &amp; " - " &amp; C13, "")</f>
        <v>ESTEFA - U1_S1, U1_S3, U1_S4, U1_S5, U1_S8</v>
      </c>
      <c r="J13" s="80" t="s">
        <v>108</v>
      </c>
      <c r="K13" s="80" t="s">
        <v>42</v>
      </c>
      <c r="L13" s="82">
        <v>1.55</v>
      </c>
      <c r="M13" s="80" t="s">
        <v>88</v>
      </c>
      <c r="N13" s="79">
        <f>G13</f>
        <v>10</v>
      </c>
      <c r="O13" s="80" t="s">
        <v>132</v>
      </c>
      <c r="P13" s="80"/>
      <c r="Q13" s="80" t="s">
        <v>108</v>
      </c>
      <c r="R13" s="80" t="s">
        <v>42</v>
      </c>
      <c r="S13" s="82">
        <v>1.55</v>
      </c>
    </row>
    <row r="14" spans="1:19" ht="22.5" x14ac:dyDescent="0.2">
      <c r="A14" s="10"/>
      <c r="B14" s="35" t="s">
        <v>43</v>
      </c>
      <c r="C14" s="35" t="s">
        <v>58</v>
      </c>
      <c r="D14" s="41" t="s">
        <v>73</v>
      </c>
      <c r="E14" s="37">
        <v>2</v>
      </c>
      <c r="F14" s="32" t="s">
        <v>89</v>
      </c>
      <c r="G14" s="43">
        <f t="shared" ref="G14" si="3">E14*$J$4</f>
        <v>4</v>
      </c>
      <c r="H14" s="32" t="s">
        <v>94</v>
      </c>
      <c r="I14" s="47" t="str">
        <f t="shared" si="2"/>
        <v>ESTEFA - J6, J7</v>
      </c>
      <c r="J14" s="32" t="s">
        <v>109</v>
      </c>
      <c r="K14" s="32" t="s">
        <v>43</v>
      </c>
      <c r="L14" s="38">
        <v>23.17</v>
      </c>
      <c r="M14" s="33" t="s">
        <v>88</v>
      </c>
      <c r="N14" s="45">
        <f t="shared" ref="N14" si="4">G14</f>
        <v>4</v>
      </c>
      <c r="O14" s="33" t="s">
        <v>133</v>
      </c>
      <c r="P14" s="33"/>
      <c r="Q14" s="33" t="s">
        <v>109</v>
      </c>
      <c r="R14" s="33" t="s">
        <v>43</v>
      </c>
      <c r="S14" s="39">
        <v>23.62</v>
      </c>
    </row>
    <row r="15" spans="1:19" x14ac:dyDescent="0.2">
      <c r="A15" s="10"/>
      <c r="B15" s="34" t="s">
        <v>44</v>
      </c>
      <c r="C15" s="34" t="s">
        <v>59</v>
      </c>
      <c r="D15" s="40" t="s">
        <v>74</v>
      </c>
      <c r="E15" s="36">
        <v>1</v>
      </c>
      <c r="F15" s="32" t="s">
        <v>89</v>
      </c>
      <c r="G15" s="43">
        <f>E15*$J$4</f>
        <v>2</v>
      </c>
      <c r="H15" s="32" t="s">
        <v>95</v>
      </c>
      <c r="I15" s="47" t="str">
        <f t="shared" si="2"/>
        <v>ESTEFA - J10</v>
      </c>
      <c r="J15" s="32" t="s">
        <v>110</v>
      </c>
      <c r="K15" s="32" t="s">
        <v>117</v>
      </c>
      <c r="L15" s="38">
        <v>11</v>
      </c>
      <c r="M15" s="33" t="s">
        <v>88</v>
      </c>
      <c r="N15" s="45">
        <f>G15</f>
        <v>2</v>
      </c>
      <c r="O15" s="33" t="s">
        <v>134</v>
      </c>
      <c r="P15" s="33"/>
      <c r="Q15" s="33" t="s">
        <v>110</v>
      </c>
      <c r="R15" s="33" t="s">
        <v>117</v>
      </c>
      <c r="S15" s="39">
        <v>11</v>
      </c>
    </row>
    <row r="16" spans="1:19" x14ac:dyDescent="0.2">
      <c r="A16" s="10"/>
      <c r="B16" s="35" t="s">
        <v>45</v>
      </c>
      <c r="C16" s="35" t="s">
        <v>60</v>
      </c>
      <c r="D16" s="41" t="s">
        <v>75</v>
      </c>
      <c r="E16" s="37">
        <v>1</v>
      </c>
      <c r="F16" s="32" t="s">
        <v>89</v>
      </c>
      <c r="G16" s="43">
        <f t="shared" ref="G16" si="5">E16*$J$4</f>
        <v>2</v>
      </c>
      <c r="H16" s="32" t="s">
        <v>96</v>
      </c>
      <c r="I16" s="47" t="str">
        <f t="shared" si="2"/>
        <v>ESTEFA - J9</v>
      </c>
      <c r="J16" s="32" t="s">
        <v>110</v>
      </c>
      <c r="K16" s="32" t="s">
        <v>118</v>
      </c>
      <c r="L16" s="38">
        <v>11</v>
      </c>
      <c r="M16" s="33" t="s">
        <v>88</v>
      </c>
      <c r="N16" s="45">
        <f t="shared" ref="N16" si="6">G16</f>
        <v>2</v>
      </c>
      <c r="O16" s="33" t="s">
        <v>135</v>
      </c>
      <c r="P16" s="33"/>
      <c r="Q16" s="33" t="s">
        <v>110</v>
      </c>
      <c r="R16" s="33" t="s">
        <v>118</v>
      </c>
      <c r="S16" s="39">
        <v>11</v>
      </c>
    </row>
    <row r="17" spans="1:19" s="83" customFormat="1" ht="22.5" x14ac:dyDescent="0.2">
      <c r="A17" s="76"/>
      <c r="B17" s="77" t="s">
        <v>46</v>
      </c>
      <c r="C17" s="77" t="s">
        <v>61</v>
      </c>
      <c r="D17" s="78" t="s">
        <v>76</v>
      </c>
      <c r="E17" s="79">
        <v>11</v>
      </c>
      <c r="F17" s="80" t="s">
        <v>89</v>
      </c>
      <c r="G17" s="79">
        <f>E17*$J$4</f>
        <v>22</v>
      </c>
      <c r="H17" s="80" t="s">
        <v>97</v>
      </c>
      <c r="I17" s="81" t="str">
        <f t="shared" ref="I17:I24" si="7">IF(C17&lt;&gt;"", $J$2 &amp; " - " &amp; C17, "")</f>
        <v>ESTEFA - C4...C14</v>
      </c>
      <c r="J17" s="80" t="s">
        <v>111</v>
      </c>
      <c r="K17" s="80" t="s">
        <v>119</v>
      </c>
      <c r="L17" s="82">
        <v>2.58E-2</v>
      </c>
      <c r="M17" s="80" t="s">
        <v>88</v>
      </c>
      <c r="N17" s="79">
        <f>G17</f>
        <v>22</v>
      </c>
      <c r="O17" s="80" t="s">
        <v>136</v>
      </c>
      <c r="P17" s="80"/>
      <c r="Q17" s="80" t="s">
        <v>111</v>
      </c>
      <c r="R17" s="80" t="s">
        <v>119</v>
      </c>
      <c r="S17" s="82">
        <v>3.6999999999999998E-2</v>
      </c>
    </row>
    <row r="18" spans="1:19" s="83" customFormat="1" ht="33.75" x14ac:dyDescent="0.2">
      <c r="A18" s="76"/>
      <c r="B18" s="77" t="s">
        <v>47</v>
      </c>
      <c r="C18" s="77" t="s">
        <v>62</v>
      </c>
      <c r="D18" s="78" t="s">
        <v>77</v>
      </c>
      <c r="E18" s="79">
        <v>10</v>
      </c>
      <c r="F18" s="80" t="s">
        <v>89</v>
      </c>
      <c r="G18" s="79">
        <f t="shared" ref="G18" si="8">E18*$J$4</f>
        <v>20</v>
      </c>
      <c r="H18" s="80" t="s">
        <v>98</v>
      </c>
      <c r="I18" s="81" t="str">
        <f t="shared" si="7"/>
        <v>ESTEFA - C1_S1, C1_S3, C1_S4, C1_S5, C1_S8, C2_S1, C2_S3, C2_S4, C2_S5, C2_S8</v>
      </c>
      <c r="J18" s="80" t="s">
        <v>111</v>
      </c>
      <c r="K18" s="80" t="s">
        <v>120</v>
      </c>
      <c r="L18" s="82">
        <v>3.6119999999999999E-2</v>
      </c>
      <c r="M18" s="80" t="s">
        <v>89</v>
      </c>
      <c r="N18" s="79">
        <f t="shared" ref="N18" si="9">G18</f>
        <v>20</v>
      </c>
      <c r="O18" s="80" t="s">
        <v>98</v>
      </c>
      <c r="P18" s="80"/>
      <c r="Q18" s="80" t="s">
        <v>111</v>
      </c>
      <c r="R18" s="80" t="s">
        <v>120</v>
      </c>
      <c r="S18" s="82">
        <v>3.6119999999999999E-2</v>
      </c>
    </row>
    <row r="19" spans="1:19" s="83" customFormat="1" ht="22.5" x14ac:dyDescent="0.2">
      <c r="A19" s="76"/>
      <c r="B19" s="77" t="s">
        <v>48</v>
      </c>
      <c r="C19" s="77" t="s">
        <v>63</v>
      </c>
      <c r="D19" s="78" t="s">
        <v>78</v>
      </c>
      <c r="E19" s="79">
        <v>6</v>
      </c>
      <c r="F19" s="80" t="s">
        <v>89</v>
      </c>
      <c r="G19" s="79">
        <f>E19*$J$4</f>
        <v>12</v>
      </c>
      <c r="H19" s="80" t="s">
        <v>99</v>
      </c>
      <c r="I19" s="81" t="str">
        <f t="shared" si="7"/>
        <v>ESTEFA - J1...J5, J8</v>
      </c>
      <c r="J19" s="80" t="s">
        <v>112</v>
      </c>
      <c r="K19" s="80" t="s">
        <v>48</v>
      </c>
      <c r="L19" s="82">
        <v>2.2599999999999998</v>
      </c>
      <c r="M19" s="80" t="s">
        <v>88</v>
      </c>
      <c r="N19" s="79">
        <f>G19</f>
        <v>12</v>
      </c>
      <c r="O19" s="80" t="s">
        <v>137</v>
      </c>
      <c r="P19" s="80"/>
      <c r="Q19" s="80" t="s">
        <v>112</v>
      </c>
      <c r="R19" s="80" t="s">
        <v>48</v>
      </c>
      <c r="S19" s="82">
        <v>2.25</v>
      </c>
    </row>
    <row r="20" spans="1:19" x14ac:dyDescent="0.2">
      <c r="A20" s="10"/>
      <c r="B20" s="35" t="s">
        <v>49</v>
      </c>
      <c r="C20" s="35" t="s">
        <v>64</v>
      </c>
      <c r="D20" s="41" t="s">
        <v>79</v>
      </c>
      <c r="E20" s="37">
        <v>3</v>
      </c>
      <c r="F20" s="32" t="s">
        <v>89</v>
      </c>
      <c r="G20" s="43">
        <f t="shared" ref="G20" si="10">E20*$J$4</f>
        <v>6</v>
      </c>
      <c r="H20" s="32" t="s">
        <v>100</v>
      </c>
      <c r="I20" s="47" t="str">
        <f t="shared" si="7"/>
        <v>ESTEFA - U3, U4, U6</v>
      </c>
      <c r="J20" s="32" t="s">
        <v>108</v>
      </c>
      <c r="K20" s="32" t="s">
        <v>121</v>
      </c>
      <c r="L20" s="38">
        <v>3.39</v>
      </c>
      <c r="M20" s="33" t="s">
        <v>88</v>
      </c>
      <c r="N20" s="45">
        <f t="shared" ref="N20" si="11">G20</f>
        <v>6</v>
      </c>
      <c r="O20" s="33" t="s">
        <v>138</v>
      </c>
      <c r="P20" s="33"/>
      <c r="Q20" s="33" t="s">
        <v>108</v>
      </c>
      <c r="R20" s="33" t="s">
        <v>121</v>
      </c>
      <c r="S20" s="39">
        <v>3.39</v>
      </c>
    </row>
    <row r="21" spans="1:19" ht="22.5" x14ac:dyDescent="0.2">
      <c r="A21" s="10"/>
      <c r="B21" s="34" t="s">
        <v>50</v>
      </c>
      <c r="C21" s="34" t="s">
        <v>65</v>
      </c>
      <c r="D21" s="40" t="s">
        <v>80</v>
      </c>
      <c r="E21" s="36">
        <v>1</v>
      </c>
      <c r="F21" s="32" t="s">
        <v>89</v>
      </c>
      <c r="G21" s="43">
        <f>E21*$J$4</f>
        <v>2</v>
      </c>
      <c r="H21" s="32" t="s">
        <v>101</v>
      </c>
      <c r="I21" s="47" t="str">
        <f t="shared" si="7"/>
        <v>ESTEFA - C3</v>
      </c>
      <c r="J21" s="32" t="s">
        <v>113</v>
      </c>
      <c r="K21" s="32" t="s">
        <v>122</v>
      </c>
      <c r="L21" s="38">
        <v>1.8</v>
      </c>
      <c r="M21" s="33" t="s">
        <v>128</v>
      </c>
      <c r="N21" s="45">
        <f>G21</f>
        <v>2</v>
      </c>
      <c r="O21" s="33" t="s">
        <v>122</v>
      </c>
      <c r="P21" s="33"/>
      <c r="Q21" s="33" t="s">
        <v>113</v>
      </c>
      <c r="R21" s="33" t="s">
        <v>122</v>
      </c>
      <c r="S21" s="39">
        <v>2.3199999999999998</v>
      </c>
    </row>
    <row r="22" spans="1:19" x14ac:dyDescent="0.2">
      <c r="A22" s="10"/>
      <c r="B22" s="35" t="s">
        <v>51</v>
      </c>
      <c r="C22" s="35" t="s">
        <v>66</v>
      </c>
      <c r="D22" s="41" t="s">
        <v>81</v>
      </c>
      <c r="E22" s="37">
        <v>3</v>
      </c>
      <c r="F22" s="32" t="s">
        <v>89</v>
      </c>
      <c r="G22" s="43">
        <f t="shared" ref="G22" si="12">E22*$J$4</f>
        <v>6</v>
      </c>
      <c r="H22" s="32" t="s">
        <v>102</v>
      </c>
      <c r="I22" s="47" t="str">
        <f t="shared" si="7"/>
        <v>ESTEFA - R1...R3</v>
      </c>
      <c r="J22" s="32" t="s">
        <v>111</v>
      </c>
      <c r="K22" s="32" t="s">
        <v>123</v>
      </c>
      <c r="L22" s="38">
        <v>0.10319</v>
      </c>
      <c r="M22" s="33" t="s">
        <v>87</v>
      </c>
      <c r="N22" s="45">
        <f t="shared" ref="N22" si="13">G22</f>
        <v>6</v>
      </c>
      <c r="O22" s="33" t="s">
        <v>123</v>
      </c>
      <c r="P22" s="33"/>
      <c r="Q22" s="33" t="s">
        <v>111</v>
      </c>
      <c r="R22" s="33" t="s">
        <v>123</v>
      </c>
      <c r="S22" s="39">
        <v>4.9790000000000001E-2</v>
      </c>
    </row>
    <row r="23" spans="1:19" s="83" customFormat="1" ht="33.75" x14ac:dyDescent="0.2">
      <c r="A23" s="76"/>
      <c r="B23" s="77" t="s">
        <v>52</v>
      </c>
      <c r="C23" s="77" t="s">
        <v>67</v>
      </c>
      <c r="D23" s="78" t="s">
        <v>82</v>
      </c>
      <c r="E23" s="79">
        <v>10</v>
      </c>
      <c r="F23" s="80" t="s">
        <v>89</v>
      </c>
      <c r="G23" s="79">
        <f>E23*$J$4</f>
        <v>20</v>
      </c>
      <c r="H23" s="80" t="s">
        <v>103</v>
      </c>
      <c r="I23" s="81" t="str">
        <f t="shared" si="7"/>
        <v>ESTEFA - D1_S1, D1_S3, D1_S4, D1_S5, D1_S8, D2_S1, D2_S3, D2_S4, D2_S5, D2_S8</v>
      </c>
      <c r="J23" s="80" t="s">
        <v>114</v>
      </c>
      <c r="K23" s="80" t="s">
        <v>124</v>
      </c>
      <c r="L23" s="82">
        <v>0.71718999999999999</v>
      </c>
      <c r="M23" s="80" t="s">
        <v>88</v>
      </c>
      <c r="N23" s="79">
        <f>G23</f>
        <v>20</v>
      </c>
      <c r="O23" s="80" t="s">
        <v>139</v>
      </c>
      <c r="P23" s="80"/>
      <c r="Q23" s="80" t="s">
        <v>114</v>
      </c>
      <c r="R23" s="80" t="s">
        <v>124</v>
      </c>
      <c r="S23" s="82">
        <v>0.73267000000000004</v>
      </c>
    </row>
    <row r="24" spans="1:19" s="83" customFormat="1" ht="56.25" x14ac:dyDescent="0.2">
      <c r="A24" s="76"/>
      <c r="B24" s="77" t="s">
        <v>53</v>
      </c>
      <c r="C24" s="77" t="s">
        <v>68</v>
      </c>
      <c r="D24" s="78" t="s">
        <v>83</v>
      </c>
      <c r="E24" s="79">
        <v>20</v>
      </c>
      <c r="F24" s="80" t="s">
        <v>89</v>
      </c>
      <c r="G24" s="79">
        <f t="shared" ref="G24" si="14">E24*$J$4</f>
        <v>40</v>
      </c>
      <c r="H24" s="80" t="s">
        <v>104</v>
      </c>
      <c r="I24" s="81" t="str">
        <f t="shared" si="7"/>
        <v>ESTEFA - P2_S1, P2_S3, P2_S4, P2_S5, P2_S8, P3_S1, P3_S3, P3_S4, P3_S5, P3_S8, P4_S1, P4_S3, P4_S4, P4_S5, P4_S8, P5_S1, P5_S3, P5_S4, P5_S5, P5_S8</v>
      </c>
      <c r="J24" s="80" t="s">
        <v>107</v>
      </c>
      <c r="K24" s="80" t="s">
        <v>125</v>
      </c>
      <c r="L24" s="82">
        <v>0.18059</v>
      </c>
      <c r="M24" s="80" t="s">
        <v>88</v>
      </c>
      <c r="N24" s="79">
        <f t="shared" ref="N24" si="15">G24</f>
        <v>40</v>
      </c>
      <c r="O24" s="80" t="s">
        <v>140</v>
      </c>
      <c r="P24" s="80"/>
      <c r="Q24" s="80" t="s">
        <v>107</v>
      </c>
      <c r="R24" s="80" t="s">
        <v>125</v>
      </c>
      <c r="S24" s="82">
        <v>0.46953</v>
      </c>
    </row>
    <row r="25" spans="1:19" s="83" customFormat="1" ht="23.25" thickBot="1" x14ac:dyDescent="0.25">
      <c r="A25" s="76"/>
      <c r="B25" s="77" t="s">
        <v>54</v>
      </c>
      <c r="C25" s="77" t="s">
        <v>69</v>
      </c>
      <c r="D25" s="78" t="s">
        <v>84</v>
      </c>
      <c r="E25" s="79">
        <v>2</v>
      </c>
      <c r="F25" s="80" t="s">
        <v>89</v>
      </c>
      <c r="G25" s="79">
        <f>E25*$J$4</f>
        <v>4</v>
      </c>
      <c r="H25" s="80" t="s">
        <v>105</v>
      </c>
      <c r="I25" s="81" t="str">
        <f t="shared" ref="I25" si="16">IF(C25&lt;&gt;"", $J$2 &amp; " - " &amp; C25, "")</f>
        <v>ESTEFA - U2, U5</v>
      </c>
      <c r="J25" s="80" t="s">
        <v>108</v>
      </c>
      <c r="K25" s="80" t="s">
        <v>54</v>
      </c>
      <c r="L25" s="82">
        <v>0.85133999999999999</v>
      </c>
      <c r="M25" s="80" t="s">
        <v>88</v>
      </c>
      <c r="N25" s="79">
        <f>G25</f>
        <v>4</v>
      </c>
      <c r="O25" s="80" t="s">
        <v>141</v>
      </c>
      <c r="P25" s="80"/>
      <c r="Q25" s="80" t="s">
        <v>108</v>
      </c>
      <c r="R25" s="80" t="s">
        <v>54</v>
      </c>
      <c r="S25" s="82">
        <v>0.85133999999999999</v>
      </c>
    </row>
    <row r="26" spans="1:19" x14ac:dyDescent="0.2">
      <c r="A26" s="22"/>
      <c r="B26" s="23"/>
      <c r="C26" s="23"/>
      <c r="D26" s="23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</row>
    <row r="27" spans="1:19" x14ac:dyDescent="0.2">
      <c r="P27" s="46"/>
    </row>
    <row r="29" spans="1:19" x14ac:dyDescent="0.2">
      <c r="I29" s="48"/>
      <c r="J29" s="48"/>
    </row>
    <row r="35" spans="3:9" x14ac:dyDescent="0.2">
      <c r="I35" s="46"/>
    </row>
    <row r="36" spans="3:9" x14ac:dyDescent="0.2">
      <c r="I36" s="46"/>
    </row>
    <row r="37" spans="3:9" x14ac:dyDescent="0.2">
      <c r="C37" s="48"/>
    </row>
  </sheetData>
  <mergeCells count="2">
    <mergeCell ref="F8:L8"/>
    <mergeCell ref="M8:S8"/>
  </mergeCells>
  <phoneticPr fontId="0" type="noConversion"/>
  <conditionalFormatting sqref="B9:S10 I11:I25">
    <cfRule type="cellIs" dxfId="4" priority="12" stopIfTrue="1" operator="equal">
      <formula>"NO"</formula>
    </cfRule>
  </conditionalFormatting>
  <conditionalFormatting sqref="F11:F25">
    <cfRule type="containsText" dxfId="3" priority="7" operator="containsText" text="Mouser">
      <formula>NOT(ISERROR(SEARCH("Mouser",F11)))</formula>
    </cfRule>
  </conditionalFormatting>
  <conditionalFormatting sqref="M11:M25">
    <cfRule type="containsText" dxfId="2" priority="6" operator="containsText" text="Mouser">
      <formula>NOT(ISERROR(SEARCH("Mouser",M11)))</formula>
    </cfRule>
  </conditionalFormatting>
  <conditionalFormatting sqref="Q11:Q25">
    <cfRule type="cellIs" dxfId="1" priority="8" operator="notEqual">
      <formula>$J11</formula>
    </cfRule>
  </conditionalFormatting>
  <conditionalFormatting sqref="R11:R25">
    <cfRule type="cellIs" dxfId="0" priority="9" operator="notEqual">
      <formula>$K11</formula>
    </cfRule>
  </conditionalFormatting>
  <pageMargins left="0.75" right="0.75" top="1" bottom="1" header="0.5" footer="0.5"/>
  <pageSetup orientation="landscape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9.140625" defaultRowHeight="12.75" x14ac:dyDescent="0.2"/>
  <cols>
    <col min="1" max="1" width="30.28515625" style="1" customWidth="1"/>
    <col min="2" max="2" width="108.5703125" style="1" customWidth="1"/>
  </cols>
  <sheetData>
    <row r="1" spans="1:2" s="2" customFormat="1" ht="17.25" customHeight="1" x14ac:dyDescent="0.2">
      <c r="A1" s="6" t="s">
        <v>3</v>
      </c>
      <c r="B1" s="68" t="s">
        <v>145</v>
      </c>
    </row>
    <row r="2" spans="1:2" s="2" customFormat="1" ht="17.25" customHeight="1" x14ac:dyDescent="0.2">
      <c r="A2" s="4" t="s">
        <v>5</v>
      </c>
      <c r="B2" s="69" t="s">
        <v>34</v>
      </c>
    </row>
    <row r="3" spans="1:2" s="2" customFormat="1" ht="17.25" customHeight="1" x14ac:dyDescent="0.2">
      <c r="A3" s="5" t="s">
        <v>4</v>
      </c>
      <c r="B3" s="70" t="s">
        <v>36</v>
      </c>
    </row>
    <row r="4" spans="1:2" s="2" customFormat="1" ht="17.25" customHeight="1" x14ac:dyDescent="0.2">
      <c r="A4" s="4" t="s">
        <v>6</v>
      </c>
      <c r="B4" s="69" t="s">
        <v>35</v>
      </c>
    </row>
    <row r="5" spans="1:2" s="2" customFormat="1" ht="17.25" customHeight="1" x14ac:dyDescent="0.2">
      <c r="A5" s="5" t="s">
        <v>7</v>
      </c>
      <c r="B5" s="70" t="s">
        <v>146</v>
      </c>
    </row>
    <row r="6" spans="1:2" s="2" customFormat="1" ht="17.25" customHeight="1" x14ac:dyDescent="0.2">
      <c r="A6" s="4" t="s">
        <v>2</v>
      </c>
      <c r="B6" s="69" t="s">
        <v>147</v>
      </c>
    </row>
    <row r="7" spans="1:2" s="2" customFormat="1" ht="17.25" customHeight="1" x14ac:dyDescent="0.2">
      <c r="A7" s="5" t="s">
        <v>8</v>
      </c>
      <c r="B7" s="70" t="s">
        <v>148</v>
      </c>
    </row>
    <row r="8" spans="1:2" s="2" customFormat="1" ht="17.25" customHeight="1" x14ac:dyDescent="0.2">
      <c r="A8" s="4" t="s">
        <v>9</v>
      </c>
      <c r="B8" s="69" t="s">
        <v>149</v>
      </c>
    </row>
    <row r="9" spans="1:2" s="2" customFormat="1" ht="17.25" customHeight="1" x14ac:dyDescent="0.2">
      <c r="A9" s="5" t="s">
        <v>10</v>
      </c>
      <c r="B9" s="70" t="s">
        <v>150</v>
      </c>
    </row>
    <row r="10" spans="1:2" s="2" customFormat="1" ht="17.25" customHeight="1" x14ac:dyDescent="0.2">
      <c r="A10" s="4" t="s">
        <v>12</v>
      </c>
      <c r="B10" s="69" t="s">
        <v>38</v>
      </c>
    </row>
    <row r="11" spans="1:2" s="2" customFormat="1" ht="17.25" customHeight="1" x14ac:dyDescent="0.2">
      <c r="A11" s="5" t="s">
        <v>11</v>
      </c>
      <c r="B11" s="70" t="s">
        <v>151</v>
      </c>
    </row>
    <row r="12" spans="1:2" s="2" customFormat="1" ht="17.25" customHeight="1" x14ac:dyDescent="0.2">
      <c r="A12" s="4" t="s">
        <v>13</v>
      </c>
      <c r="B12" s="69" t="s">
        <v>152</v>
      </c>
    </row>
    <row r="13" spans="1:2" s="2" customFormat="1" ht="17.25" customHeight="1" x14ac:dyDescent="0.2">
      <c r="A13" s="5" t="s">
        <v>14</v>
      </c>
      <c r="B13" s="70" t="s">
        <v>153</v>
      </c>
    </row>
    <row r="14" spans="1:2" s="2" customFormat="1" ht="17.25" customHeight="1" thickBot="1" x14ac:dyDescent="0.25">
      <c r="A14" s="3" t="s">
        <v>15</v>
      </c>
      <c r="B14" s="71" t="s">
        <v>151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Manufacturing</vt:lpstr>
      <vt:lpstr>Project Information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JORGE ALEJANDRO ESTEFANIA HIDALGO</cp:lastModifiedBy>
  <cp:lastPrinted>2016-09-15T00:08:55Z</cp:lastPrinted>
  <dcterms:created xsi:type="dcterms:W3CDTF">2000-10-27T00:30:29Z</dcterms:created>
  <dcterms:modified xsi:type="dcterms:W3CDTF">2026-05-25T13:58:56Z</dcterms:modified>
</cp:coreProperties>
</file>