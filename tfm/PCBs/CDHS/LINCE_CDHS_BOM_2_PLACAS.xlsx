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stefaniah\Documents\LINCE\LINCE_CDHS\"/>
    </mc:Choice>
  </mc:AlternateContent>
  <xr:revisionPtr revIDLastSave="0" documentId="13_ncr:1_{AD54D07D-F339-44D2-990B-47512CF5D6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ufacturing" sheetId="5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5" l="1"/>
  <c r="G25" i="5"/>
  <c r="N25" i="5" s="1"/>
  <c r="I24" i="5"/>
  <c r="G24" i="5"/>
  <c r="N24" i="5" s="1"/>
  <c r="I23" i="5"/>
  <c r="G23" i="5"/>
  <c r="N23" i="5" s="1"/>
  <c r="I22" i="5"/>
  <c r="G22" i="5"/>
  <c r="N22" i="5" s="1"/>
  <c r="N21" i="5"/>
  <c r="I21" i="5"/>
  <c r="G21" i="5"/>
  <c r="I20" i="5"/>
  <c r="G20" i="5"/>
  <c r="N20" i="5" s="1"/>
  <c r="I19" i="5"/>
  <c r="G19" i="5"/>
  <c r="N19" i="5" s="1"/>
  <c r="I18" i="5"/>
  <c r="G18" i="5"/>
  <c r="N18" i="5" s="1"/>
  <c r="I17" i="5"/>
  <c r="G17" i="5"/>
  <c r="N17" i="5" s="1"/>
  <c r="I16" i="5"/>
  <c r="G16" i="5"/>
  <c r="N16" i="5" s="1"/>
  <c r="I15" i="5"/>
  <c r="G15" i="5"/>
  <c r="N15" i="5" s="1"/>
  <c r="I14" i="5"/>
  <c r="G14" i="5"/>
  <c r="N14" i="5" s="1"/>
  <c r="I13" i="5"/>
  <c r="G13" i="5"/>
  <c r="N13" i="5" s="1"/>
  <c r="Q3" i="5"/>
  <c r="Q5" i="5" s="1"/>
  <c r="J3" i="5"/>
  <c r="J5" i="5" s="1"/>
  <c r="I11" i="5"/>
  <c r="P10" i="5" s="1" a="1"/>
  <c r="P10" i="5" s="1"/>
  <c r="I12" i="5"/>
  <c r="I10" i="5"/>
  <c r="P5" i="5"/>
  <c r="G12" i="5"/>
  <c r="N12" i="5" s="1"/>
  <c r="G11" i="5"/>
  <c r="I5" i="5"/>
  <c r="N11" i="5" l="1"/>
  <c r="Q6" i="5" s="1"/>
  <c r="J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<sst xmlns="http://schemas.openxmlformats.org/spreadsheetml/2006/main" count="251" uniqueCount="154">
  <si>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</si>
  <si>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</si>
  <si>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</si>
  <si>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</si>
  <si>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</si>
  <si>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</si>
  <si>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</si>
  <si>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</si>
  <si>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</si>
  <si>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</si>
  <si>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</si>
  <si>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</si>
  <si>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</si>
  <si>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</si>
  <si>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</si>
  <si>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</si>
  <si>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</si>
  <si>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</si>
  <si>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</si>
  <si>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</si>
  <si>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</si>
  <si>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</si>
  <si>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</si>
  <si>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</si>
  <si>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</si>
  <si>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</si>
  <si>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</si>
  <si>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</si>
  <si>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</si>
  <si>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Encargado</t>
  </si>
  <si>
    <t>PCB Count:</t>
  </si>
  <si>
    <t>Price for 1 PCB:</t>
  </si>
  <si>
    <t>LOGIN:</t>
  </si>
  <si>
    <t>Price for all components:</t>
  </si>
  <si>
    <t>LINCE3_CDHS.PrjPcb</t>
  </si>
  <si>
    <t>ActiveBOM.BomDoc</t>
  </si>
  <si>
    <t>None</t>
  </si>
  <si>
    <t>2</t>
  </si>
  <si>
    <t>21/05/2026 11:33</t>
  </si>
  <si>
    <t>DesignItemId</t>
  </si>
  <si>
    <t>CMP-2000-07561-2</t>
  </si>
  <si>
    <t>ADS7950QDBTRQ1</t>
  </si>
  <si>
    <t>CMP-2000-05351-1</t>
  </si>
  <si>
    <t>CMP-001-00017-6</t>
  </si>
  <si>
    <t>CMP-03422-000612-1</t>
  </si>
  <si>
    <t>CMP-02407-005604-1</t>
  </si>
  <si>
    <t>D09P13A4GL00LF</t>
  </si>
  <si>
    <t>D09S13A4GL00LF</t>
  </si>
  <si>
    <t>ESDCAN24-2BLY</t>
  </si>
  <si>
    <t>CMP-1024-00182-1</t>
  </si>
  <si>
    <t>R-785.0-1.0</t>
  </si>
  <si>
    <t>CMP-00370-122305019-1</t>
  </si>
  <si>
    <t>THVD1424RGTR</t>
  </si>
  <si>
    <t>CMP-02766-000084-1</t>
  </si>
  <si>
    <t>TXU0104PWR</t>
  </si>
  <si>
    <t>D3A, D3B, D3C, D4A, D4B, D4C</t>
  </si>
  <si>
    <t>U5</t>
  </si>
  <si>
    <t>P7</t>
  </si>
  <si>
    <t>C1...C6, C9...C18</t>
  </si>
  <si>
    <t>C7A, C7B, C7C, C8A, C8B, C8C</t>
  </si>
  <si>
    <t>R2...R5</t>
  </si>
  <si>
    <t>J6</t>
  </si>
  <si>
    <t>J1...J5</t>
  </si>
  <si>
    <t>D1, D2</t>
  </si>
  <si>
    <t>P1, P2</t>
  </si>
  <si>
    <t>PS1</t>
  </si>
  <si>
    <t>U1, U2</t>
  </si>
  <si>
    <t>U3A, U3B, U3C</t>
  </si>
  <si>
    <t>P3A, P3B, P3C, P4A, P4B, P4C, P5A, P5B, P5C, P6A, P6B, P6C</t>
  </si>
  <si>
    <t>U4</t>
  </si>
  <si>
    <t>TVS DIODE 12V 31V SOT23-3</t>
  </si>
  <si>
    <t>Automotive, 12-bit, 1-MSPS, 4-channel, single-ended SAR ADC 30-TSSOP -40 to 125</t>
  </si>
  <si>
    <t>Male FMC Connector, Pitch 1.27 mm, 4 x 40 Position, Height 7.11 mm, RoHS, Tape and Reel</t>
  </si>
  <si>
    <t>Chip Capacitor, 100 nF, +/- 10%, 50 V, 0603 (1608 Metric)</t>
  </si>
  <si>
    <t>CAP CER 1UF 25V X5R 0603</t>
  </si>
  <si>
    <t>RES Thick Film, 60.4Ω, 1%, 0.5W, 100ppm/°C, 0805</t>
  </si>
  <si>
    <t>FCI Delta D Series,9 Way Right Angle Mount PCB D-sub Conn Plug,2.74mm Pitch | Amphenol FCI (Amphenol CS) D09P13A4GL00LF</t>
  </si>
  <si>
    <t/>
  </si>
  <si>
    <t>TVS DIODE 24VWM 40VC SOT23-3L / ESD Suppressor Diode TVS Bi-Dir 24V Automotive 3-Pin SOT-23 T/R</t>
  </si>
  <si>
    <t>Press Fit Header, Through-hole, Vertical, -55 to 125 degC, 2.54 mm Pitch, 4-Pin, Male, RoHS</t>
  </si>
  <si>
    <t>Power Supply</t>
  </si>
  <si>
    <t>Enhanced automotive CAN transceiver with standby 8-SOIC -40 to 150</t>
  </si>
  <si>
    <t>RS-485 transceiver with slew-rate control, integrated switchable termination and duplex switching 16-VQFN -40 to 125</t>
  </si>
  <si>
    <t>CONN HEADER VERT 2POS 2.54MM</t>
  </si>
  <si>
    <t>Four channel unidirectional level shifter 14-TSSOP -40 to 125</t>
  </si>
  <si>
    <t>Quantity</t>
  </si>
  <si>
    <t>Supplier 1</t>
  </si>
  <si>
    <t>DigiKey</t>
  </si>
  <si>
    <t>Mouser</t>
  </si>
  <si>
    <t>Supplier Part Number 1</t>
  </si>
  <si>
    <t>F6450DKR-ND</t>
  </si>
  <si>
    <t>595-ADS7950QDBTRQ1</t>
  </si>
  <si>
    <t>200-ASP-134604-01</t>
  </si>
  <si>
    <t>603-CC603KRX7R9BB104</t>
  </si>
  <si>
    <t>603-CC603KRX5R8BB105</t>
  </si>
  <si>
    <t>71-CRCW080560R4FKEAH</t>
  </si>
  <si>
    <t>649-D09P13A4GL00LF</t>
  </si>
  <si>
    <t>649-D09S13A4GL00LF</t>
  </si>
  <si>
    <t>511-ESDCAN24-2BLY</t>
  </si>
  <si>
    <t>200-MTSW10407GS170</t>
  </si>
  <si>
    <t>919-R-785.0-1.0</t>
  </si>
  <si>
    <t>595-TCAN1044AVDRQ1</t>
  </si>
  <si>
    <t>595-THVD1424RGTR</t>
  </si>
  <si>
    <t>200-TSW10207GS</t>
  </si>
  <si>
    <t>595-TXU0104PWR</t>
  </si>
  <si>
    <t>Manufacturer 1</t>
  </si>
  <si>
    <t>Littelfuse</t>
  </si>
  <si>
    <t>Texas Instruments</t>
  </si>
  <si>
    <t>Samtec</t>
  </si>
  <si>
    <t>Yageo Group</t>
  </si>
  <si>
    <t>Vishay</t>
  </si>
  <si>
    <t>Amphenol Communications Solutions</t>
  </si>
  <si>
    <t>STMicroelectronics</t>
  </si>
  <si>
    <t>Recom Power</t>
  </si>
  <si>
    <t>Manufacturer Part Number 1</t>
  </si>
  <si>
    <t>SM712-02HTG</t>
  </si>
  <si>
    <t>ASP-134604-01</t>
  </si>
  <si>
    <t>CC0603KRX7R9BB104</t>
  </si>
  <si>
    <t>CC0603KRX5R8BB105</t>
  </si>
  <si>
    <t>CRCW080560R4FKEAHP</t>
  </si>
  <si>
    <t>MTSW-104-07-G-S-170</t>
  </si>
  <si>
    <t>TCAN1044AVDRQ1</t>
  </si>
  <si>
    <t>TSW-102-07-G-S</t>
  </si>
  <si>
    <t>Supplier Unit Price 1</t>
  </si>
  <si>
    <t>Supplier 2</t>
  </si>
  <si>
    <t>Supplier Part Number 2</t>
  </si>
  <si>
    <t>F6450CT-ND</t>
  </si>
  <si>
    <t>296-39865-1-ND</t>
  </si>
  <si>
    <t>612-ASP-134604-01CT-ND</t>
  </si>
  <si>
    <t>311-1344-1-ND</t>
  </si>
  <si>
    <t>311-1445-1-ND</t>
  </si>
  <si>
    <t>541-CRCW080560R4FKEAHPCT-ND</t>
  </si>
  <si>
    <t>609-1476-ND</t>
  </si>
  <si>
    <t>609-1482-ND</t>
  </si>
  <si>
    <t>497-13262-6-ND</t>
  </si>
  <si>
    <t>MTSW-104-07-G-S-170-ND</t>
  </si>
  <si>
    <t>945-1038-ND</t>
  </si>
  <si>
    <t>296-TCAN1044AVDRQ1CT-ND</t>
  </si>
  <si>
    <t>296-THVD1424RGTRCT-ND</t>
  </si>
  <si>
    <t>SAM1029-02-ND</t>
  </si>
  <si>
    <t>296-TXU0104PWRCT-ND</t>
  </si>
  <si>
    <t>Manufacturer 2</t>
  </si>
  <si>
    <t>Manufacturer Part Number 2</t>
  </si>
  <si>
    <t>Supplier Unit Price 2</t>
  </si>
  <si>
    <t>C:\Users\Public\Documents\Altium\LINCE3_CDHS\LINCE3_CDHS.PrjPcb</t>
  </si>
  <si>
    <t>C:\Users\Public\Documents\Altium\LINCE3_CDHS\ActiveBOM.BomDoc</t>
  </si>
  <si>
    <t>Bill of Materials for BOM Document [ActiveBOM.BomDoc]</t>
  </si>
  <si>
    <t>63</t>
  </si>
  <si>
    <t>11:33</t>
  </si>
  <si>
    <t>21/05/2026</t>
  </si>
  <si>
    <t>Bill of Materials</t>
  </si>
  <si>
    <t>BomReport</t>
  </si>
  <si>
    <t>BOM</t>
  </si>
  <si>
    <t>ESTEFC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</si>
</sst>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4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0" fontId="8" fillId="5" borderId="10" xfId="0" applyFont="1" applyFill="1" applyBorder="1" applyAlignment="1">
      <alignment horizontal="center" vertical="center"/>
    </xf>
    <xf numFmtId="1" fontId="9" fillId="5" borderId="10" xfId="0" applyNumberFormat="1" applyFont="1" applyFill="1" applyBorder="1" applyAlignment="1">
      <alignment vertical="top" wrapText="1"/>
    </xf>
    <xf numFmtId="0" fontId="8" fillId="4" borderId="10" xfId="0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vertical="top" wrapText="1"/>
    </xf>
    <xf numFmtId="0" fontId="12" fillId="0" borderId="0" xfId="0" applyFont="1"/>
    <xf numFmtId="0" fontId="9" fillId="5" borderId="11" xfId="0" applyFont="1" applyFill="1" applyBorder="1" applyAlignment="1">
      <alignment vertical="top" wrapText="1"/>
    </xf>
    <xf numFmtId="0" fontId="13" fillId="0" borderId="0" xfId="0" applyFont="1"/>
    <xf numFmtId="0" fontId="5" fillId="5" borderId="18" xfId="0" applyFont="1" applyFill="1" applyBorder="1"/>
    <xf numFmtId="166" fontId="0" fillId="5" borderId="19" xfId="0" applyNumberFormat="1" applyFill="1" applyBorder="1" applyAlignment="1">
      <alignment horizontal="left"/>
    </xf>
    <xf numFmtId="0" fontId="5" fillId="5" borderId="20" xfId="0" applyFont="1" applyFill="1" applyBorder="1"/>
    <xf numFmtId="0" fontId="6" fillId="5" borderId="21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5" fillId="4" borderId="18" xfId="0" applyFont="1" applyFill="1" applyBorder="1"/>
    <xf numFmtId="166" fontId="0" fillId="4" borderId="19" xfId="0" applyNumberFormat="1" applyFill="1" applyBorder="1" applyAlignment="1">
      <alignment horizontal="left"/>
    </xf>
    <xf numFmtId="0" fontId="5" fillId="4" borderId="20" xfId="0" applyFont="1" applyFill="1" applyBorder="1"/>
    <xf numFmtId="0" fontId="6" fillId="4" borderId="21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5" borderId="20" xfId="0" applyFont="1" applyFill="1" applyBorder="1"/>
    <xf numFmtId="0" fontId="5" fillId="5" borderId="22" xfId="0" applyFont="1" applyFill="1" applyBorder="1" applyAlignment="1">
      <alignment horizontal="left"/>
    </xf>
    <xf numFmtId="0" fontId="1" fillId="4" borderId="20" xfId="0" applyFont="1" applyFill="1" applyBorder="1"/>
    <xf numFmtId="0" fontId="5" fillId="4" borderId="22" xfId="0" applyFont="1" applyFill="1" applyBorder="1" applyAlignment="1">
      <alignment horizontal="left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0" fontId="6" fillId="5" borderId="21" xfId="0" quotePrefix="1" applyFont="1" applyFill="1" applyBorder="1" applyAlignment="1">
      <alignment horizontal="left"/>
    </xf>
    <xf numFmtId="0" fontId="6" fillId="4" borderId="21" xfId="0" quotePrefix="1" applyFont="1" applyFill="1" applyBorder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7" borderId="3" xfId="0" applyFont="1" applyFill="1" applyBorder="1"/>
    <xf numFmtId="49" fontId="9" fillId="7" borderId="12" xfId="0" applyNumberFormat="1" applyFont="1" applyFill="1" applyBorder="1" applyAlignment="1">
      <alignment vertical="top" wrapText="1"/>
    </xf>
    <xf numFmtId="49" fontId="9" fillId="7" borderId="10" xfId="0" applyNumberFormat="1" applyFont="1" applyFill="1" applyBorder="1" applyAlignment="1">
      <alignment vertical="top" wrapText="1"/>
    </xf>
    <xf numFmtId="1" fontId="9" fillId="7" borderId="10" xfId="0" applyNumberFormat="1" applyFont="1" applyFill="1" applyBorder="1" applyAlignment="1">
      <alignment vertical="top" wrapText="1"/>
    </xf>
    <xf numFmtId="49" fontId="9" fillId="7" borderId="11" xfId="0" applyNumberFormat="1" applyFont="1" applyFill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166" fontId="9" fillId="7" borderId="11" xfId="0" applyNumberFormat="1" applyFont="1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7845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5" zoomScaleNormal="85" workbookViewId="0">
      <selection activeCell="H22" sqref="H22"/>
    </sheetView>
  </sheetViews>
  <sheetFormatPr baseColWidth="10" defaultColWidth="9.140625" defaultRowHeight="12.75" x14ac:dyDescent="0.2"/>
  <cols>
    <col min="1" max="1" width="3.5703125" customWidth="1"/>
    <col min="2" max="2" width="22.5703125" customWidth="1"/>
    <col min="3" max="3" width="43.7109375" customWidth="1"/>
    <col min="4" max="4" width="34" customWidth="1"/>
    <col min="5" max="5" width="9.7109375" customWidth="1"/>
    <col min="6" max="6" width="14" customWidth="1"/>
    <col min="7" max="7" width="9.7109375" customWidth="1"/>
    <col min="8" max="9" width="31.140625" customWidth="1"/>
    <col min="10" max="10" width="25.85546875" customWidth="1"/>
    <col min="11" max="11" width="26.5703125" customWidth="1"/>
    <col min="12" max="12" width="19" customWidth="1"/>
    <col min="13" max="13" width="15.140625" customWidth="1"/>
    <col min="14" max="14" width="9.7109375" customWidth="1"/>
    <col min="15" max="16" width="31.140625" customWidth="1"/>
    <col min="17" max="17" width="25.85546875" customWidth="1"/>
    <col min="18" max="18" width="26.5703125" customWidth="1"/>
    <col min="19" max="19" width="21.42578125" customWidth="1"/>
    <col min="20" max="20" width="17.85546875" customWidth="1"/>
  </cols>
  <sheetData>
    <row r="1" spans="1:19" ht="13.5" thickBot="1" x14ac:dyDescent="0.25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30.75" thickBot="1" x14ac:dyDescent="0.25">
      <c r="A2" s="10"/>
      <c r="B2" s="11"/>
      <c r="C2" s="11"/>
      <c r="D2" s="25" t="s">
        <v>24</v>
      </c>
      <c r="E2" s="29"/>
      <c r="F2" s="63" t="s">
        <v>34</v>
      </c>
      <c r="G2" s="29"/>
      <c r="H2" s="29"/>
      <c r="I2" s="29" t="s">
        <v>32</v>
      </c>
      <c r="J2" s="29" t="s">
        <v>153</v>
      </c>
      <c r="K2" s="29"/>
      <c r="L2" s="29"/>
      <c r="M2" s="29"/>
      <c r="N2" s="29"/>
      <c r="O2" s="29"/>
      <c r="P2" s="29"/>
      <c r="Q2" s="28"/>
      <c r="R2" s="29"/>
      <c r="S2" s="29"/>
    </row>
    <row r="3" spans="1:19" x14ac:dyDescent="0.2">
      <c r="A3" s="10"/>
      <c r="B3" s="12"/>
      <c r="C3" s="12"/>
      <c r="D3" s="12" t="s">
        <v>0</v>
      </c>
      <c r="E3" s="64" t="s">
        <v>35</v>
      </c>
      <c r="F3" s="13"/>
      <c r="G3" s="64" t="s">
        <v>35</v>
      </c>
      <c r="H3" s="13"/>
      <c r="I3" s="49" t="s">
        <v>31</v>
      </c>
      <c r="J3" s="50">
        <f>SUMPRODUCT(E11:E25,L11:L25)</f>
        <v>58.384279999999997</v>
      </c>
      <c r="K3" s="13"/>
      <c r="L3" s="13"/>
      <c r="M3" s="13"/>
      <c r="N3" s="64" t="s">
        <v>35</v>
      </c>
      <c r="O3" s="13"/>
      <c r="P3" s="54" t="s">
        <v>31</v>
      </c>
      <c r="Q3" s="55">
        <f>SUMPRODUCT(E11:E25,S11:S25)</f>
        <v>62.538400000000003</v>
      </c>
      <c r="R3" s="13"/>
      <c r="S3" s="13"/>
    </row>
    <row r="4" spans="1:19" x14ac:dyDescent="0.2">
      <c r="A4" s="10"/>
      <c r="B4" s="12"/>
      <c r="C4" s="12"/>
      <c r="D4" s="12" t="s">
        <v>1</v>
      </c>
      <c r="E4" s="64" t="s">
        <v>36</v>
      </c>
      <c r="F4" s="13"/>
      <c r="G4" s="64" t="s">
        <v>36</v>
      </c>
      <c r="H4" s="13"/>
      <c r="I4" s="51" t="s">
        <v>30</v>
      </c>
      <c r="J4" s="65" t="s">
        <v>37</v>
      </c>
      <c r="K4" s="13"/>
      <c r="L4" s="13"/>
      <c r="M4" s="13"/>
      <c r="N4" s="64" t="s">
        <v>36</v>
      </c>
      <c r="O4" s="13"/>
      <c r="P4" s="56" t="s">
        <v>30</v>
      </c>
      <c r="Q4" s="66" t="s">
        <v>37</v>
      </c>
      <c r="R4" s="13"/>
      <c r="S4" s="13"/>
    </row>
    <row r="5" spans="1:19" x14ac:dyDescent="0.2">
      <c r="A5" s="10"/>
      <c r="B5" s="12"/>
      <c r="C5" s="12"/>
      <c r="D5" s="14" t="s">
        <v>16</v>
      </c>
      <c r="E5" s="67" t="s">
        <v>38</v>
      </c>
      <c r="F5" s="13"/>
      <c r="G5" s="67" t="s">
        <v>38</v>
      </c>
      <c r="H5" s="13"/>
      <c r="I5" s="59" t="str">
        <f>"Price por " &amp; J4 &amp; " PCBs"</f>
        <v>Price por 2 PCBs</v>
      </c>
      <c r="J5" s="52">
        <f>J3*J4</f>
        <v>116.76855999999999</v>
      </c>
      <c r="K5" s="13"/>
      <c r="L5" s="13"/>
      <c r="M5" s="13"/>
      <c r="N5" s="67" t="s">
        <v>38</v>
      </c>
      <c r="O5" s="13"/>
      <c r="P5" s="61" t="str">
        <f>"Price por " &amp; Q4 &amp; " PCBs"</f>
        <v>Price por 2 PCBs</v>
      </c>
      <c r="Q5" s="57">
        <f>Q3*Q4</f>
        <v>125.07680000000001</v>
      </c>
      <c r="R5" s="13"/>
      <c r="S5" s="13"/>
    </row>
    <row r="6" spans="1:19" ht="13.5" thickBot="1" x14ac:dyDescent="0.25">
      <c r="A6" s="10"/>
      <c r="B6" s="16"/>
      <c r="C6" s="16"/>
      <c r="D6" s="14"/>
      <c r="E6" s="15"/>
      <c r="F6" s="15"/>
      <c r="G6" s="15"/>
      <c r="H6" s="15"/>
      <c r="I6" s="60" t="s">
        <v>33</v>
      </c>
      <c r="J6" s="53">
        <f>SUMPRODUCT(G11:G25,L11:L25)</f>
        <v>116.76855999999999</v>
      </c>
      <c r="K6" s="15"/>
      <c r="L6" s="15"/>
      <c r="M6" s="15"/>
      <c r="N6" s="15"/>
      <c r="O6" s="15"/>
      <c r="P6" s="62" t="s">
        <v>33</v>
      </c>
      <c r="Q6" s="58">
        <f>SUMPRODUCT(N11:N25,S11:S25)</f>
        <v>125.07680000000001</v>
      </c>
      <c r="R6" s="15"/>
      <c r="S6" s="15"/>
    </row>
    <row r="7" spans="1:19" ht="13.5" thickBot="1" x14ac:dyDescent="0.25">
      <c r="A7" s="10"/>
      <c r="B7" s="17"/>
      <c r="C7" s="17"/>
      <c r="D7" s="18"/>
      <c r="E7" s="18"/>
      <c r="F7" s="18"/>
      <c r="G7" s="18"/>
      <c r="H7" s="18"/>
      <c r="I7" s="13"/>
      <c r="J7" s="13"/>
      <c r="K7" s="18"/>
      <c r="L7" s="18"/>
      <c r="M7" s="18"/>
      <c r="N7" s="18"/>
      <c r="O7" s="18"/>
      <c r="P7" s="13"/>
      <c r="Q7" s="13"/>
      <c r="R7" s="18"/>
      <c r="S7" s="18"/>
    </row>
    <row r="8" spans="1:19" ht="23.25" x14ac:dyDescent="0.35">
      <c r="A8" s="10"/>
      <c r="B8" s="14"/>
      <c r="C8" s="14"/>
      <c r="D8" s="13"/>
      <c r="E8" s="19"/>
      <c r="F8" s="72" t="s">
        <v>27</v>
      </c>
      <c r="G8" s="72"/>
      <c r="H8" s="73"/>
      <c r="I8" s="73"/>
      <c r="J8" s="73"/>
      <c r="K8" s="73"/>
      <c r="L8" s="73"/>
      <c r="M8" s="74" t="s">
        <v>28</v>
      </c>
      <c r="N8" s="74"/>
      <c r="O8" s="75"/>
      <c r="P8" s="75"/>
      <c r="Q8" s="75"/>
      <c r="R8" s="75"/>
      <c r="S8" s="75"/>
    </row>
    <row r="9" spans="1:19" x14ac:dyDescent="0.2">
      <c r="A9" s="7"/>
      <c r="B9" s="27" t="s">
        <v>25</v>
      </c>
      <c r="C9" s="21" t="s">
        <v>22</v>
      </c>
      <c r="D9" s="26" t="s">
        <v>23</v>
      </c>
      <c r="E9" s="21" t="s">
        <v>26</v>
      </c>
      <c r="F9" s="31" t="s">
        <v>19</v>
      </c>
      <c r="G9" s="31" t="s">
        <v>26</v>
      </c>
      <c r="H9" s="31" t="s">
        <v>18</v>
      </c>
      <c r="I9" s="31" t="s">
        <v>29</v>
      </c>
      <c r="J9" s="31" t="s">
        <v>21</v>
      </c>
      <c r="K9" s="31" t="s">
        <v>20</v>
      </c>
      <c r="L9" s="31" t="s">
        <v>17</v>
      </c>
      <c r="M9" s="30" t="s">
        <v>19</v>
      </c>
      <c r="N9" s="30" t="s">
        <v>26</v>
      </c>
      <c r="O9" s="30" t="s">
        <v>18</v>
      </c>
      <c r="P9" s="30" t="s">
        <v>29</v>
      </c>
      <c r="Q9" s="30" t="s">
        <v>21</v>
      </c>
      <c r="R9" s="30" t="s">
        <v>20</v>
      </c>
      <c r="S9" s="30" t="s">
        <v>17</v>
      </c>
    </row>
    <row r="10" spans="1:19" ht="46.5" hidden="1" customHeight="1" x14ac:dyDescent="0.2">
      <c r="A10" s="10"/>
      <c r="B10" s="20" t="s">
        <v>39</v>
      </c>
      <c r="C10" s="20" t="s">
        <v>22</v>
      </c>
      <c r="D10" s="26" t="s">
        <v>23</v>
      </c>
      <c r="E10" s="26" t="s">
        <v>85</v>
      </c>
      <c r="F10" s="31" t="s">
        <v>86</v>
      </c>
      <c r="G10" s="42"/>
      <c r="H10" s="31" t="s">
        <v>89</v>
      </c>
      <c r="I10" s="47" t="str">
        <f>IF(C10&lt;&gt;"", $J$2 &amp; " - " &amp; C10, "")</f>
        <v>ESTEFC - Designator</v>
      </c>
      <c r="J10" s="31" t="s">
        <v>105</v>
      </c>
      <c r="K10" s="31" t="s">
        <v>114</v>
      </c>
      <c r="L10" s="31" t="s">
        <v>123</v>
      </c>
      <c r="M10" s="30" t="s">
        <v>124</v>
      </c>
      <c r="N10" s="44"/>
      <c r="O10" s="30" t="s">
        <v>125</v>
      </c>
      <c r="P10" s="30" t="e" cm="1">
        <f t="array" aca="1" ref="P10" ca="1">_xludf.IF(I11&lt;&gt;"", "JAESTEFANIAH-" &amp; I11, "")</f>
        <v>#NAME?</v>
      </c>
      <c r="Q10" s="30" t="s">
        <v>141</v>
      </c>
      <c r="R10" s="30" t="s">
        <v>142</v>
      </c>
      <c r="S10" s="30" t="s">
        <v>143</v>
      </c>
    </row>
    <row r="11" spans="1:19" s="83" customFormat="1" ht="22.5" x14ac:dyDescent="0.2">
      <c r="A11" s="76"/>
      <c r="B11" s="77" t="s">
        <v>40</v>
      </c>
      <c r="C11" s="77" t="s">
        <v>55</v>
      </c>
      <c r="D11" s="78" t="s">
        <v>70</v>
      </c>
      <c r="E11" s="79">
        <v>6</v>
      </c>
      <c r="F11" s="80" t="s">
        <v>87</v>
      </c>
      <c r="G11" s="79">
        <f>E11*$J$4</f>
        <v>12</v>
      </c>
      <c r="H11" s="80" t="s">
        <v>90</v>
      </c>
      <c r="I11" s="81" t="str">
        <f t="shared" ref="I11:I12" si="0">IF(C11&lt;&gt;"", $J$2 &amp; " - " &amp; C11, "")</f>
        <v>ESTEFC - D3A, D3B, D3C, D4A, D4B, D4C</v>
      </c>
      <c r="J11" s="80" t="s">
        <v>106</v>
      </c>
      <c r="K11" s="80" t="s">
        <v>115</v>
      </c>
      <c r="L11" s="82">
        <v>0.73267000000000004</v>
      </c>
      <c r="M11" s="80" t="s">
        <v>87</v>
      </c>
      <c r="N11" s="79">
        <f>G11</f>
        <v>12</v>
      </c>
      <c r="O11" s="80" t="s">
        <v>126</v>
      </c>
      <c r="P11" s="80"/>
      <c r="Q11" s="80" t="s">
        <v>106</v>
      </c>
      <c r="R11" s="80" t="s">
        <v>115</v>
      </c>
      <c r="S11" s="82">
        <v>0.73267000000000004</v>
      </c>
    </row>
    <row r="12" spans="1:19" ht="22.5" x14ac:dyDescent="0.2">
      <c r="A12" s="10"/>
      <c r="B12" s="35" t="s">
        <v>41</v>
      </c>
      <c r="C12" s="35" t="s">
        <v>56</v>
      </c>
      <c r="D12" s="41" t="s">
        <v>71</v>
      </c>
      <c r="E12" s="37">
        <v>1</v>
      </c>
      <c r="F12" s="32" t="s">
        <v>88</v>
      </c>
      <c r="G12" s="43">
        <f t="shared" ref="G12" si="1">E12*$J$4</f>
        <v>2</v>
      </c>
      <c r="H12" s="32" t="s">
        <v>91</v>
      </c>
      <c r="I12" s="47" t="str">
        <f t="shared" si="0"/>
        <v>ESTEFC - U5</v>
      </c>
      <c r="J12" s="32" t="s">
        <v>107</v>
      </c>
      <c r="K12" s="32" t="s">
        <v>41</v>
      </c>
      <c r="L12" s="38">
        <v>6.56</v>
      </c>
      <c r="M12" s="33" t="s">
        <v>87</v>
      </c>
      <c r="N12" s="45">
        <f t="shared" ref="N12" si="2">G12</f>
        <v>2</v>
      </c>
      <c r="O12" s="33" t="s">
        <v>127</v>
      </c>
      <c r="P12" s="33"/>
      <c r="Q12" s="33" t="s">
        <v>107</v>
      </c>
      <c r="R12" s="33" t="s">
        <v>41</v>
      </c>
      <c r="S12" s="39">
        <v>6.56</v>
      </c>
    </row>
    <row r="13" spans="1:19" s="83" customFormat="1" ht="22.5" x14ac:dyDescent="0.2">
      <c r="A13" s="76"/>
      <c r="B13" s="77" t="s">
        <v>42</v>
      </c>
      <c r="C13" s="77" t="s">
        <v>57</v>
      </c>
      <c r="D13" s="78" t="s">
        <v>72</v>
      </c>
      <c r="E13" s="79">
        <v>1</v>
      </c>
      <c r="F13" s="80" t="s">
        <v>88</v>
      </c>
      <c r="G13" s="79">
        <f>E13*$J$4</f>
        <v>2</v>
      </c>
      <c r="H13" s="80" t="s">
        <v>92</v>
      </c>
      <c r="I13" s="81" t="str">
        <f t="shared" ref="I13:I16" si="3">IF(C13&lt;&gt;"", $J$2 &amp; " - " &amp; C13, "")</f>
        <v>ESTEFC - P7</v>
      </c>
      <c r="J13" s="80" t="s">
        <v>108</v>
      </c>
      <c r="K13" s="80" t="s">
        <v>116</v>
      </c>
      <c r="L13" s="82">
        <v>12.64</v>
      </c>
      <c r="M13" s="80" t="s">
        <v>87</v>
      </c>
      <c r="N13" s="79">
        <f>G13</f>
        <v>2</v>
      </c>
      <c r="O13" s="80" t="s">
        <v>128</v>
      </c>
      <c r="P13" s="80"/>
      <c r="Q13" s="80" t="s">
        <v>108</v>
      </c>
      <c r="R13" s="80" t="s">
        <v>116</v>
      </c>
      <c r="S13" s="82">
        <v>12.64</v>
      </c>
    </row>
    <row r="14" spans="1:19" s="83" customFormat="1" ht="22.5" x14ac:dyDescent="0.2">
      <c r="A14" s="76"/>
      <c r="B14" s="77" t="s">
        <v>43</v>
      </c>
      <c r="C14" s="77" t="s">
        <v>58</v>
      </c>
      <c r="D14" s="78" t="s">
        <v>73</v>
      </c>
      <c r="E14" s="79">
        <v>16</v>
      </c>
      <c r="F14" s="80" t="s">
        <v>88</v>
      </c>
      <c r="G14" s="79">
        <f t="shared" ref="G14" si="4">E14*$J$4</f>
        <v>32</v>
      </c>
      <c r="H14" s="80" t="s">
        <v>93</v>
      </c>
      <c r="I14" s="81" t="str">
        <f t="shared" si="3"/>
        <v>ESTEFC - C1...C6, C9...C18</v>
      </c>
      <c r="J14" s="80" t="s">
        <v>109</v>
      </c>
      <c r="K14" s="80" t="s">
        <v>117</v>
      </c>
      <c r="L14" s="82">
        <v>2.58E-2</v>
      </c>
      <c r="M14" s="80" t="s">
        <v>87</v>
      </c>
      <c r="N14" s="79">
        <f t="shared" ref="N14" si="5">G14</f>
        <v>32</v>
      </c>
      <c r="O14" s="80" t="s">
        <v>129</v>
      </c>
      <c r="P14" s="80"/>
      <c r="Q14" s="80" t="s">
        <v>109</v>
      </c>
      <c r="R14" s="80" t="s">
        <v>117</v>
      </c>
      <c r="S14" s="82">
        <v>3.6999999999999998E-2</v>
      </c>
    </row>
    <row r="15" spans="1:19" s="83" customFormat="1" ht="22.5" x14ac:dyDescent="0.2">
      <c r="A15" s="76"/>
      <c r="B15" s="77" t="s">
        <v>44</v>
      </c>
      <c r="C15" s="77" t="s">
        <v>59</v>
      </c>
      <c r="D15" s="78" t="s">
        <v>74</v>
      </c>
      <c r="E15" s="79">
        <v>6</v>
      </c>
      <c r="F15" s="80" t="s">
        <v>88</v>
      </c>
      <c r="G15" s="79">
        <f>E15*$J$4</f>
        <v>12</v>
      </c>
      <c r="H15" s="80" t="s">
        <v>94</v>
      </c>
      <c r="I15" s="81" t="str">
        <f t="shared" si="3"/>
        <v>ESTEFC - C7A, C7B, C7C, C8A, C8B, C8C</v>
      </c>
      <c r="J15" s="80" t="s">
        <v>109</v>
      </c>
      <c r="K15" s="80" t="s">
        <v>118</v>
      </c>
      <c r="L15" s="82">
        <v>3.6119999999999999E-2</v>
      </c>
      <c r="M15" s="80" t="s">
        <v>87</v>
      </c>
      <c r="N15" s="79">
        <f>G15</f>
        <v>12</v>
      </c>
      <c r="O15" s="80" t="s">
        <v>130</v>
      </c>
      <c r="P15" s="80"/>
      <c r="Q15" s="80" t="s">
        <v>109</v>
      </c>
      <c r="R15" s="80" t="s">
        <v>118</v>
      </c>
      <c r="S15" s="82">
        <v>5.16E-2</v>
      </c>
    </row>
    <row r="16" spans="1:19" s="83" customFormat="1" ht="22.5" x14ac:dyDescent="0.2">
      <c r="A16" s="76"/>
      <c r="B16" s="77" t="s">
        <v>45</v>
      </c>
      <c r="C16" s="77" t="s">
        <v>60</v>
      </c>
      <c r="D16" s="78" t="s">
        <v>75</v>
      </c>
      <c r="E16" s="79">
        <v>4</v>
      </c>
      <c r="F16" s="80" t="s">
        <v>88</v>
      </c>
      <c r="G16" s="79">
        <f t="shared" ref="G16" si="6">E16*$J$4</f>
        <v>8</v>
      </c>
      <c r="H16" s="80" t="s">
        <v>95</v>
      </c>
      <c r="I16" s="81" t="str">
        <f t="shared" si="3"/>
        <v>ESTEFC - R2...R5</v>
      </c>
      <c r="J16" s="80" t="s">
        <v>110</v>
      </c>
      <c r="K16" s="80" t="s">
        <v>119</v>
      </c>
      <c r="L16" s="82">
        <v>5.074E-2</v>
      </c>
      <c r="M16" s="80" t="s">
        <v>87</v>
      </c>
      <c r="N16" s="79">
        <f t="shared" ref="N16" si="7">G16</f>
        <v>8</v>
      </c>
      <c r="O16" s="80" t="s">
        <v>131</v>
      </c>
      <c r="P16" s="80"/>
      <c r="Q16" s="80" t="s">
        <v>110</v>
      </c>
      <c r="R16" s="80" t="s">
        <v>119</v>
      </c>
      <c r="S16" s="82">
        <v>7.6530000000000001E-2</v>
      </c>
    </row>
    <row r="17" spans="1:19" ht="33.75" x14ac:dyDescent="0.2">
      <c r="A17" s="10"/>
      <c r="B17" s="34" t="s">
        <v>46</v>
      </c>
      <c r="C17" s="34" t="s">
        <v>61</v>
      </c>
      <c r="D17" s="40" t="s">
        <v>76</v>
      </c>
      <c r="E17" s="36">
        <v>1</v>
      </c>
      <c r="F17" s="32" t="s">
        <v>88</v>
      </c>
      <c r="G17" s="43">
        <f>E17*$J$4</f>
        <v>2</v>
      </c>
      <c r="H17" s="32" t="s">
        <v>96</v>
      </c>
      <c r="I17" s="47" t="str">
        <f t="shared" ref="I17:I24" si="8">IF(C17&lt;&gt;"", $J$2 &amp; " - " &amp; C17, "")</f>
        <v>ESTEFC - J6</v>
      </c>
      <c r="J17" s="32" t="s">
        <v>111</v>
      </c>
      <c r="K17" s="32" t="s">
        <v>46</v>
      </c>
      <c r="L17" s="38">
        <v>2.61</v>
      </c>
      <c r="M17" s="33" t="s">
        <v>87</v>
      </c>
      <c r="N17" s="45">
        <f>G17</f>
        <v>2</v>
      </c>
      <c r="O17" s="33" t="s">
        <v>132</v>
      </c>
      <c r="P17" s="33"/>
      <c r="Q17" s="33" t="s">
        <v>111</v>
      </c>
      <c r="R17" s="33" t="s">
        <v>46</v>
      </c>
      <c r="S17" s="39">
        <v>2.61</v>
      </c>
    </row>
    <row r="18" spans="1:19" ht="22.5" x14ac:dyDescent="0.2">
      <c r="A18" s="10"/>
      <c r="B18" s="35" t="s">
        <v>47</v>
      </c>
      <c r="C18" s="35" t="s">
        <v>62</v>
      </c>
      <c r="D18" s="41" t="s">
        <v>77</v>
      </c>
      <c r="E18" s="37">
        <v>5</v>
      </c>
      <c r="F18" s="32" t="s">
        <v>88</v>
      </c>
      <c r="G18" s="43">
        <f t="shared" ref="G18" si="9">E18*$J$4</f>
        <v>10</v>
      </c>
      <c r="H18" s="32" t="s">
        <v>97</v>
      </c>
      <c r="I18" s="47" t="str">
        <f t="shared" si="8"/>
        <v>ESTEFC - J1...J5</v>
      </c>
      <c r="J18" s="32" t="s">
        <v>111</v>
      </c>
      <c r="K18" s="32" t="s">
        <v>47</v>
      </c>
      <c r="L18" s="38">
        <v>2.2599999999999998</v>
      </c>
      <c r="M18" s="33" t="s">
        <v>87</v>
      </c>
      <c r="N18" s="45">
        <f t="shared" ref="N18" si="10">G18</f>
        <v>10</v>
      </c>
      <c r="O18" s="33" t="s">
        <v>133</v>
      </c>
      <c r="P18" s="33"/>
      <c r="Q18" s="33" t="s">
        <v>111</v>
      </c>
      <c r="R18" s="33" t="s">
        <v>47</v>
      </c>
      <c r="S18" s="39">
        <v>2.25</v>
      </c>
    </row>
    <row r="19" spans="1:19" s="83" customFormat="1" ht="33.75" x14ac:dyDescent="0.2">
      <c r="A19" s="76"/>
      <c r="B19" s="77" t="s">
        <v>48</v>
      </c>
      <c r="C19" s="77" t="s">
        <v>63</v>
      </c>
      <c r="D19" s="78" t="s">
        <v>78</v>
      </c>
      <c r="E19" s="79">
        <v>2</v>
      </c>
      <c r="F19" s="80" t="s">
        <v>88</v>
      </c>
      <c r="G19" s="79">
        <f>E19*$J$4</f>
        <v>4</v>
      </c>
      <c r="H19" s="80" t="s">
        <v>98</v>
      </c>
      <c r="I19" s="81" t="str">
        <f t="shared" si="8"/>
        <v>ESTEFC - D1, D2</v>
      </c>
      <c r="J19" s="80" t="s">
        <v>112</v>
      </c>
      <c r="K19" s="80" t="s">
        <v>48</v>
      </c>
      <c r="L19" s="82">
        <v>0.37836999999999998</v>
      </c>
      <c r="M19" s="80" t="s">
        <v>87</v>
      </c>
      <c r="N19" s="79">
        <f>G19</f>
        <v>4</v>
      </c>
      <c r="O19" s="80" t="s">
        <v>134</v>
      </c>
      <c r="P19" s="80"/>
      <c r="Q19" s="80" t="s">
        <v>112</v>
      </c>
      <c r="R19" s="80" t="s">
        <v>48</v>
      </c>
      <c r="S19" s="82">
        <v>0.40416999999999997</v>
      </c>
    </row>
    <row r="20" spans="1:19" s="83" customFormat="1" ht="22.5" x14ac:dyDescent="0.2">
      <c r="A20" s="76"/>
      <c r="B20" s="77" t="s">
        <v>49</v>
      </c>
      <c r="C20" s="77" t="s">
        <v>64</v>
      </c>
      <c r="D20" s="78" t="s">
        <v>79</v>
      </c>
      <c r="E20" s="79">
        <v>2</v>
      </c>
      <c r="F20" s="80" t="s">
        <v>88</v>
      </c>
      <c r="G20" s="79">
        <f t="shared" ref="G20" si="11">E20*$J$4</f>
        <v>4</v>
      </c>
      <c r="H20" s="80" t="s">
        <v>99</v>
      </c>
      <c r="I20" s="81" t="str">
        <f t="shared" si="8"/>
        <v>ESTEFC - P1, P2</v>
      </c>
      <c r="J20" s="80" t="s">
        <v>108</v>
      </c>
      <c r="K20" s="80" t="s">
        <v>120</v>
      </c>
      <c r="L20" s="82">
        <v>0.36976999999999999</v>
      </c>
      <c r="M20" s="80" t="s">
        <v>87</v>
      </c>
      <c r="N20" s="79">
        <f t="shared" ref="N20" si="12">G20</f>
        <v>4</v>
      </c>
      <c r="O20" s="80" t="s">
        <v>135</v>
      </c>
      <c r="P20" s="80"/>
      <c r="Q20" s="80" t="s">
        <v>108</v>
      </c>
      <c r="R20" s="80" t="s">
        <v>120</v>
      </c>
      <c r="S20" s="82">
        <v>0.36976999999999999</v>
      </c>
    </row>
    <row r="21" spans="1:19" s="83" customFormat="1" x14ac:dyDescent="0.2">
      <c r="A21" s="76"/>
      <c r="B21" s="77" t="s">
        <v>50</v>
      </c>
      <c r="C21" s="77" t="s">
        <v>65</v>
      </c>
      <c r="D21" s="78" t="s">
        <v>80</v>
      </c>
      <c r="E21" s="79">
        <v>1</v>
      </c>
      <c r="F21" s="80" t="s">
        <v>88</v>
      </c>
      <c r="G21" s="79">
        <f>E21*$J$4</f>
        <v>2</v>
      </c>
      <c r="H21" s="80" t="s">
        <v>100</v>
      </c>
      <c r="I21" s="81" t="str">
        <f t="shared" si="8"/>
        <v>ESTEFC - PS1</v>
      </c>
      <c r="J21" s="80" t="s">
        <v>113</v>
      </c>
      <c r="K21" s="80" t="s">
        <v>50</v>
      </c>
      <c r="L21" s="82">
        <v>7.58</v>
      </c>
      <c r="M21" s="80" t="s">
        <v>87</v>
      </c>
      <c r="N21" s="79">
        <f>G21</f>
        <v>2</v>
      </c>
      <c r="O21" s="80" t="s">
        <v>136</v>
      </c>
      <c r="P21" s="80"/>
      <c r="Q21" s="80" t="s">
        <v>113</v>
      </c>
      <c r="R21" s="80" t="s">
        <v>50</v>
      </c>
      <c r="S21" s="82">
        <v>7.89</v>
      </c>
    </row>
    <row r="22" spans="1:19" ht="22.5" x14ac:dyDescent="0.2">
      <c r="A22" s="10"/>
      <c r="B22" s="35" t="s">
        <v>51</v>
      </c>
      <c r="C22" s="35" t="s">
        <v>66</v>
      </c>
      <c r="D22" s="41" t="s">
        <v>81</v>
      </c>
      <c r="E22" s="37">
        <v>2</v>
      </c>
      <c r="F22" s="32" t="s">
        <v>88</v>
      </c>
      <c r="G22" s="43">
        <f t="shared" ref="G22" si="13">E22*$J$4</f>
        <v>4</v>
      </c>
      <c r="H22" s="32" t="s">
        <v>101</v>
      </c>
      <c r="I22" s="47" t="str">
        <f t="shared" si="8"/>
        <v>ESTEFC - U1, U2</v>
      </c>
      <c r="J22" s="32" t="s">
        <v>107</v>
      </c>
      <c r="K22" s="32" t="s">
        <v>121</v>
      </c>
      <c r="L22" s="38">
        <v>0.82554000000000005</v>
      </c>
      <c r="M22" s="33" t="s">
        <v>87</v>
      </c>
      <c r="N22" s="45">
        <f t="shared" ref="N22" si="14">G22</f>
        <v>4</v>
      </c>
      <c r="O22" s="33" t="s">
        <v>137</v>
      </c>
      <c r="P22" s="33"/>
      <c r="Q22" s="33" t="s">
        <v>107</v>
      </c>
      <c r="R22" s="33" t="s">
        <v>121</v>
      </c>
      <c r="S22" s="39">
        <v>0.82554000000000005</v>
      </c>
    </row>
    <row r="23" spans="1:19" s="83" customFormat="1" ht="33.75" x14ac:dyDescent="0.2">
      <c r="A23" s="76"/>
      <c r="B23" s="77" t="s">
        <v>52</v>
      </c>
      <c r="C23" s="77" t="s">
        <v>67</v>
      </c>
      <c r="D23" s="78" t="s">
        <v>82</v>
      </c>
      <c r="E23" s="79">
        <v>3</v>
      </c>
      <c r="F23" s="80" t="s">
        <v>88</v>
      </c>
      <c r="G23" s="79">
        <f>E23*$J$4</f>
        <v>6</v>
      </c>
      <c r="H23" s="80" t="s">
        <v>102</v>
      </c>
      <c r="I23" s="81" t="str">
        <f t="shared" si="8"/>
        <v>ESTEFC - U3A, U3B, U3C</v>
      </c>
      <c r="J23" s="80" t="s">
        <v>107</v>
      </c>
      <c r="K23" s="80" t="s">
        <v>52</v>
      </c>
      <c r="L23" s="82">
        <v>2.1</v>
      </c>
      <c r="M23" s="80" t="s">
        <v>87</v>
      </c>
      <c r="N23" s="79">
        <f>G23</f>
        <v>6</v>
      </c>
      <c r="O23" s="80" t="s">
        <v>138</v>
      </c>
      <c r="P23" s="80"/>
      <c r="Q23" s="80" t="s">
        <v>107</v>
      </c>
      <c r="R23" s="80" t="s">
        <v>52</v>
      </c>
      <c r="S23" s="82">
        <v>2.1</v>
      </c>
    </row>
    <row r="24" spans="1:19" s="83" customFormat="1" ht="22.5" x14ac:dyDescent="0.2">
      <c r="A24" s="76"/>
      <c r="B24" s="77" t="s">
        <v>53</v>
      </c>
      <c r="C24" s="77" t="s">
        <v>68</v>
      </c>
      <c r="D24" s="78" t="s">
        <v>83</v>
      </c>
      <c r="E24" s="79">
        <v>12</v>
      </c>
      <c r="F24" s="80" t="s">
        <v>88</v>
      </c>
      <c r="G24" s="79">
        <f t="shared" ref="G24" si="15">E24*$J$4</f>
        <v>24</v>
      </c>
      <c r="H24" s="80" t="s">
        <v>103</v>
      </c>
      <c r="I24" s="81" t="str">
        <f t="shared" si="8"/>
        <v>ESTEFC - P3A, P3B, P3C, P4A, P4B, P4C, P5A, P5B, P5C, P6A, P6B, P6C</v>
      </c>
      <c r="J24" s="80" t="s">
        <v>108</v>
      </c>
      <c r="K24" s="80" t="s">
        <v>122</v>
      </c>
      <c r="L24" s="82">
        <v>0.18059</v>
      </c>
      <c r="M24" s="80" t="s">
        <v>87</v>
      </c>
      <c r="N24" s="79">
        <f t="shared" ref="N24" si="16">G24</f>
        <v>24</v>
      </c>
      <c r="O24" s="80" t="s">
        <v>139</v>
      </c>
      <c r="P24" s="80"/>
      <c r="Q24" s="80" t="s">
        <v>108</v>
      </c>
      <c r="R24" s="80" t="s">
        <v>122</v>
      </c>
      <c r="S24" s="82">
        <v>0.46953</v>
      </c>
    </row>
    <row r="25" spans="1:19" s="83" customFormat="1" ht="23.25" thickBot="1" x14ac:dyDescent="0.25">
      <c r="A25" s="76"/>
      <c r="B25" s="77" t="s">
        <v>54</v>
      </c>
      <c r="C25" s="77" t="s">
        <v>69</v>
      </c>
      <c r="D25" s="78" t="s">
        <v>84</v>
      </c>
      <c r="E25" s="79">
        <v>1</v>
      </c>
      <c r="F25" s="80" t="s">
        <v>88</v>
      </c>
      <c r="G25" s="79">
        <f>E25*$J$4</f>
        <v>2</v>
      </c>
      <c r="H25" s="80" t="s">
        <v>104</v>
      </c>
      <c r="I25" s="81" t="str">
        <f t="shared" ref="I25" si="17">IF(C25&lt;&gt;"", $J$2 &amp; " - " &amp; C25, "")</f>
        <v>ESTEFC - U4</v>
      </c>
      <c r="J25" s="80" t="s">
        <v>107</v>
      </c>
      <c r="K25" s="80" t="s">
        <v>54</v>
      </c>
      <c r="L25" s="82">
        <v>0.85133999999999999</v>
      </c>
      <c r="M25" s="80" t="s">
        <v>87</v>
      </c>
      <c r="N25" s="79">
        <f>G25</f>
        <v>2</v>
      </c>
      <c r="O25" s="80" t="s">
        <v>140</v>
      </c>
      <c r="P25" s="80"/>
      <c r="Q25" s="80" t="s">
        <v>107</v>
      </c>
      <c r="R25" s="80" t="s">
        <v>54</v>
      </c>
      <c r="S25" s="82">
        <v>0.85133999999999999</v>
      </c>
    </row>
    <row r="26" spans="1:19" x14ac:dyDescent="0.2">
      <c r="A26" s="22"/>
      <c r="B26" s="23"/>
      <c r="C26" s="23"/>
      <c r="D26" s="2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x14ac:dyDescent="0.2">
      <c r="P27" s="46"/>
    </row>
    <row r="29" spans="1:19" x14ac:dyDescent="0.2">
      <c r="I29" s="48"/>
      <c r="J29" s="48"/>
    </row>
    <row r="35" spans="3:9" x14ac:dyDescent="0.2">
      <c r="I35" s="46"/>
    </row>
    <row r="36" spans="3:9" x14ac:dyDescent="0.2">
      <c r="I36" s="46"/>
    </row>
    <row r="37" spans="3:9" x14ac:dyDescent="0.2">
      <c r="C37" s="48"/>
    </row>
  </sheetData>
  <mergeCells count="2">
    <mergeCell ref="F8:L8"/>
    <mergeCell ref="M8:S8"/>
  </mergeCells>
  <phoneticPr fontId="0" type="noConversion"/>
  <conditionalFormatting sqref="B9:S10 I11:I25">
    <cfRule type="cellIs" dxfId="4" priority="12" stopIfTrue="1" operator="equal">
      <formula>"NO"</formula>
    </cfRule>
  </conditionalFormatting>
  <conditionalFormatting sqref="F11:F25">
    <cfRule type="containsText" dxfId="3" priority="7" operator="containsText" text="Mouser">
      <formula>NOT(ISERROR(SEARCH("Mouser",F11)))</formula>
    </cfRule>
  </conditionalFormatting>
  <conditionalFormatting sqref="M11:M25">
    <cfRule type="containsText" dxfId="2" priority="6" operator="containsText" text="Mouser">
      <formula>NOT(ISERROR(SEARCH("Mouser",M11)))</formula>
    </cfRule>
  </conditionalFormatting>
  <conditionalFormatting sqref="Q11:Q25">
    <cfRule type="cellIs" dxfId="1" priority="8" operator="notEqual">
      <formula>$J11</formula>
    </cfRule>
  </conditionalFormatting>
  <conditionalFormatting sqref="R11:R25">
    <cfRule type="cellIs" dxfId="0" priority="9" operator="notEqual">
      <formula>$K11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2.75" x14ac:dyDescent="0.2"/>
  <cols>
    <col min="1" max="1" width="30.28515625" style="1" customWidth="1"/>
    <col min="2" max="2" width="108.5703125" style="1" customWidth="1"/>
  </cols>
  <sheetData>
    <row r="1" spans="1:2" s="2" customFormat="1" ht="17.25" customHeight="1" x14ac:dyDescent="0.2">
      <c r="A1" s="6" t="s">
        <v>3</v>
      </c>
      <c r="B1" s="68" t="s">
        <v>144</v>
      </c>
    </row>
    <row r="2" spans="1:2" s="2" customFormat="1" ht="17.25" customHeight="1" x14ac:dyDescent="0.2">
      <c r="A2" s="4" t="s">
        <v>5</v>
      </c>
      <c r="B2" s="69" t="s">
        <v>34</v>
      </c>
    </row>
    <row r="3" spans="1:2" s="2" customFormat="1" ht="17.25" customHeight="1" x14ac:dyDescent="0.2">
      <c r="A3" s="5" t="s">
        <v>4</v>
      </c>
      <c r="B3" s="70" t="s">
        <v>36</v>
      </c>
    </row>
    <row r="4" spans="1:2" s="2" customFormat="1" ht="17.25" customHeight="1" x14ac:dyDescent="0.2">
      <c r="A4" s="4" t="s">
        <v>6</v>
      </c>
      <c r="B4" s="69" t="s">
        <v>35</v>
      </c>
    </row>
    <row r="5" spans="1:2" s="2" customFormat="1" ht="17.25" customHeight="1" x14ac:dyDescent="0.2">
      <c r="A5" s="5" t="s">
        <v>7</v>
      </c>
      <c r="B5" s="70" t="s">
        <v>145</v>
      </c>
    </row>
    <row r="6" spans="1:2" s="2" customFormat="1" ht="17.25" customHeight="1" x14ac:dyDescent="0.2">
      <c r="A6" s="4" t="s">
        <v>2</v>
      </c>
      <c r="B6" s="69" t="s">
        <v>146</v>
      </c>
    </row>
    <row r="7" spans="1:2" s="2" customFormat="1" ht="17.25" customHeight="1" x14ac:dyDescent="0.2">
      <c r="A7" s="5" t="s">
        <v>8</v>
      </c>
      <c r="B7" s="70" t="s">
        <v>147</v>
      </c>
    </row>
    <row r="8" spans="1:2" s="2" customFormat="1" ht="17.25" customHeight="1" x14ac:dyDescent="0.2">
      <c r="A8" s="4" t="s">
        <v>9</v>
      </c>
      <c r="B8" s="69" t="s">
        <v>148</v>
      </c>
    </row>
    <row r="9" spans="1:2" s="2" customFormat="1" ht="17.25" customHeight="1" x14ac:dyDescent="0.2">
      <c r="A9" s="5" t="s">
        <v>10</v>
      </c>
      <c r="B9" s="70" t="s">
        <v>149</v>
      </c>
    </row>
    <row r="10" spans="1:2" s="2" customFormat="1" ht="17.25" customHeight="1" x14ac:dyDescent="0.2">
      <c r="A10" s="4" t="s">
        <v>12</v>
      </c>
      <c r="B10" s="69" t="s">
        <v>38</v>
      </c>
    </row>
    <row r="11" spans="1:2" s="2" customFormat="1" ht="17.25" customHeight="1" x14ac:dyDescent="0.2">
      <c r="A11" s="5" t="s">
        <v>11</v>
      </c>
      <c r="B11" s="70" t="s">
        <v>150</v>
      </c>
    </row>
    <row r="12" spans="1:2" s="2" customFormat="1" ht="17.25" customHeight="1" x14ac:dyDescent="0.2">
      <c r="A12" s="4" t="s">
        <v>13</v>
      </c>
      <c r="B12" s="69" t="s">
        <v>151</v>
      </c>
    </row>
    <row r="13" spans="1:2" s="2" customFormat="1" ht="17.25" customHeight="1" x14ac:dyDescent="0.2">
      <c r="A13" s="5" t="s">
        <v>14</v>
      </c>
      <c r="B13" s="70" t="s">
        <v>152</v>
      </c>
    </row>
    <row r="14" spans="1:2" s="2" customFormat="1" ht="17.25" customHeight="1" thickBot="1" x14ac:dyDescent="0.25">
      <c r="A14" s="3" t="s">
        <v>15</v>
      </c>
      <c r="B14" s="71" t="s">
        <v>150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JORGE ALEJANDRO ESTEFANIA HIDALGO</cp:lastModifiedBy>
  <cp:lastPrinted>2016-09-15T00:08:55Z</cp:lastPrinted>
  <dcterms:created xsi:type="dcterms:W3CDTF">2000-10-27T00:30:29Z</dcterms:created>
  <dcterms:modified xsi:type="dcterms:W3CDTF">2026-05-25T13:58:59Z</dcterms:modified>
</cp:coreProperties>
</file>